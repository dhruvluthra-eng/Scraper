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ZTO" sheetId="2" state="visible" r:id="rId4"/>
    <sheet name="YTO" sheetId="3" state="visible" r:id="rId5"/>
    <sheet name="STO" sheetId="4" state="visible" r:id="rId6"/>
    <sheet name="Yunda" sheetId="5" state="visible" r:id="rId7"/>
    <sheet name="Unit Economic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<sst xmlns="http://schemas.openxmlformats.org/spreadsheetml/2006/main" count="313" uniqueCount="220">
  <si>
    <t xml:space="preserve">Tongda Express — Historical Financials, IPO to Date</t>
  </si>
  <si>
    <t xml:space="preserve">ZTO / YTO / STO / Yunda · FY2016–FY2025 · all figures RMB million unless stated</t>
  </si>
  <si>
    <t xml:space="preserve">All four listed in 2016</t>
  </si>
  <si>
    <t xml:space="preserve">ZTO IPO'd on the NYSE in October 2016 (USD1.4bn, the largest US IPO of that year). YTO reverse-merged onto the Shanghai exchange, and STO and Yunda reverse-merged onto Shenzhen, all in 2016. FY2016 is therefore the common starting point.</t>
  </si>
  <si>
    <t xml:space="preserve">Colour convention</t>
  </si>
  <si>
    <t xml:space="preserve">BLUE = reported figure, verified against a filing or company release in this build.  ORANGE = figure believed correct but NOT verified in this build — confirm before use.  BLACK = formula.  Blank = not yet sourced.</t>
  </si>
  <si>
    <t xml:space="preserve">Coverage — be aware</t>
  </si>
  <si>
    <t xml:space="preserve">ZTO is near-complete: it files with the SEC in English and its releases carry full P&amp;L, cash flow and unit-cost detail. YTO, STO and Yunda are A-share filers reporting only in Chinese; this build has them solid for FY2022–FY2025 and patchy before that. The Coverage Map below shows exactly where the holes are.</t>
  </si>
  <si>
    <t xml:space="preserve">Critical comparability note</t>
  </si>
  <si>
    <t xml:space="preserve">ZTO records the franchisee last-mile delivery fee NET; YTO, STO and Yunda record it GROSS. So ZTO's unit revenue of ~RMB1.2 and the others' ~RMB2.0–2.2 are NOT comparable as reported. Add roughly RMB1.25 to both ZTO's unit revenue and unit cost to put it on the same basis. STO's disclosed unit pickup-and-delivery cost of RMB1.27 (2025) is the anchor for that adjustment.</t>
  </si>
  <si>
    <t xml:space="preserve">Unit cost definitions differ too</t>
  </si>
  <si>
    <r>
      <rPr>
        <sz val="10"/>
        <color rgb="FF000000"/>
        <rFont val="Arial"/>
        <family val="0"/>
        <charset val="1"/>
      </rPr>
      <t xml:space="preserve">ZTO's 'unit cost' in its own commentary excludes the delivery fee and strips out freight forwarding. The A-share names' </t>
    </r>
    <r>
      <rPr>
        <sz val="10"/>
        <color rgb="FF000000"/>
        <rFont val="Noto Sans CJK SC"/>
        <family val="2"/>
      </rPr>
      <t xml:space="preserve">单票成本 </t>
    </r>
    <r>
      <rPr>
        <sz val="10"/>
        <color rgb="FF000000"/>
        <rFont val="Arial"/>
        <family val="0"/>
        <charset val="1"/>
      </rPr>
      <t xml:space="preserve">is all-in. Compare the transport and sorting lines — those ARE directly comparable — rather than the totals.</t>
    </r>
  </si>
  <si>
    <t xml:space="preserve">Capex</t>
  </si>
  <si>
    <t xml:space="preserve">Only sporadically disclosed by all four. ZTO gives it in earnings calls rather than releases. Cumulative 2016–2023 capex: ZTO RMB47.3bn, YTO RMB30.6bn (Huaxi Securities). Annual series needs the cash flow statements from each annual report.</t>
  </si>
  <si>
    <t xml:space="preserve">Coverage Map</t>
  </si>
  <si>
    <t xml:space="preserve">ZTO</t>
  </si>
  <si>
    <t xml:space="preserve">2016 partial · 2017–2018 full (incl. cost lines) · 2019–2023 headline only · 2024–2025 full</t>
  </si>
  <si>
    <t xml:space="preserve">YTO</t>
  </si>
  <si>
    <t xml:space="preserve">2016–2021 not sourced · 2022–2023 unit economics · 2024–2025 full</t>
  </si>
  <si>
    <t xml:space="preserve">STO</t>
  </si>
  <si>
    <t xml:space="preserve">2016–2021 not sourced · 2022–2023 partial · 2024 headline · 2025 full incl. leg-level cost split</t>
  </si>
  <si>
    <t xml:space="preserve">Yunda</t>
  </si>
  <si>
    <t xml:space="preserve">2016–2021 not sourced · 2022–2023 full incl. leg-level cost split · 2024–2025 headline</t>
  </si>
  <si>
    <t xml:space="preserve">To complete the series</t>
  </si>
  <si>
    <r>
      <rPr>
        <sz val="10"/>
        <color rgb="FF000000"/>
        <rFont val="Arial"/>
        <family val="0"/>
        <charset val="1"/>
      </rPr>
      <t xml:space="preserve">The A-share gaps are all fillable from CNINFO (www.cninfo.com.cn) — search the ticker, filter to </t>
    </r>
    <r>
      <rPr>
        <sz val="10"/>
        <color rgb="FF000000"/>
        <rFont val="Noto Sans CJK SC"/>
        <family val="2"/>
      </rPr>
      <t xml:space="preserve">年度报告</t>
    </r>
    <r>
      <rPr>
        <sz val="10"/>
        <color rgb="FF000000"/>
        <rFont val="Arial"/>
        <family val="0"/>
        <charset val="1"/>
      </rPr>
      <t xml:space="preserve">, and pull the </t>
    </r>
    <r>
      <rPr>
        <sz val="10"/>
        <color rgb="FF000000"/>
        <rFont val="Noto Sans CJK SC"/>
        <family val="2"/>
      </rPr>
      <t xml:space="preserve">主要会计数据 </t>
    </r>
    <r>
      <rPr>
        <sz val="10"/>
        <color rgb="FF000000"/>
        <rFont val="Arial"/>
        <family val="0"/>
        <charset val="1"/>
      </rPr>
      <t xml:space="preserve">and </t>
    </r>
    <r>
      <rPr>
        <sz val="10"/>
        <color rgb="FF000000"/>
        <rFont val="Noto Sans CJK SC"/>
        <family val="2"/>
      </rPr>
      <t xml:space="preserve">分行业经营情况 </t>
    </r>
    <r>
      <rPr>
        <sz val="10"/>
        <color rgb="FF000000"/>
        <rFont val="Arial"/>
        <family val="0"/>
        <charset val="1"/>
      </rPr>
      <t xml:space="preserve">tables. ZTO's gaps are in its annual 6-K exhibits on SEC EDGAR (CIK 1677250). Links on the Sources tab.</t>
    </r>
  </si>
  <si>
    <t xml:space="preserve">Prepared</t>
  </si>
  <si>
    <t xml:space="preserve">3 September 2026.</t>
  </si>
  <si>
    <t xml:space="preserve">ZTO Express (NYSE: ZTO / SEHK: 2057) — FY2016–FY2025</t>
  </si>
  <si>
    <t xml:space="preserve">US GAAP, RMB. Source: annual 6-K exhibits, SEC EDGAR CIK 1677250.</t>
  </si>
  <si>
    <t xml:space="preserve">RMB million unless stated</t>
  </si>
  <si>
    <t xml:space="preserve">Note</t>
  </si>
  <si>
    <t xml:space="preserve">Volumes &amp; share</t>
  </si>
  <si>
    <t xml:space="preserve">Parcel volume (mn)</t>
  </si>
  <si>
    <t xml:space="preserve">2017/18 from FY18 release; 2021–25 from company releases</t>
  </si>
  <si>
    <t xml:space="preserve">Market share (%)</t>
  </si>
  <si>
    <t xml:space="preserve">Share fell below 20% in 2024 for the first time since 2020</t>
  </si>
  <si>
    <t xml:space="preserve">Income statement</t>
  </si>
  <si>
    <t xml:space="preserve">Total revenues</t>
  </si>
  <si>
    <t xml:space="preserve">  o/w express delivery services</t>
  </si>
  <si>
    <t xml:space="preserve">Segment split only pulled for these years</t>
  </si>
  <si>
    <t xml:space="preserve">Total cost of revenues</t>
  </si>
  <si>
    <t xml:space="preserve">  Line-haul transportation cost</t>
  </si>
  <si>
    <t xml:space="preserve">  Sorting hub cost</t>
  </si>
  <si>
    <t xml:space="preserve">  Freight forwarding cost</t>
  </si>
  <si>
    <t xml:space="preserve">  Cost of accessories sold</t>
  </si>
  <si>
    <t xml:space="preserve">  Other costs</t>
  </si>
  <si>
    <t xml:space="preserve">2025 +96% on key-account service costs</t>
  </si>
  <si>
    <t xml:space="preserve">Gross profit</t>
  </si>
  <si>
    <t xml:space="preserve">SG&amp;A</t>
  </si>
  <si>
    <t xml:space="preserve">Income from operations</t>
  </si>
  <si>
    <t xml:space="preserve">Net income</t>
  </si>
  <si>
    <t xml:space="preserve">2025 = net profit attributable</t>
  </si>
  <si>
    <t xml:space="preserve">Adjusted net income</t>
  </si>
  <si>
    <t xml:space="preserve">Adjusted EBITDA</t>
  </si>
  <si>
    <t xml:space="preserve">Margins</t>
  </si>
  <si>
    <t xml:space="preserve">Gross margin</t>
  </si>
  <si>
    <t xml:space="preserve">Formula = gross profit / total revenues</t>
  </si>
  <si>
    <t xml:space="preserve">Net margin</t>
  </si>
  <si>
    <t xml:space="preserve">Unit economics (RMB per parcel)</t>
  </si>
  <si>
    <t xml:space="preserve">Unit revenue — total</t>
  </si>
  <si>
    <t xml:space="preserve">Filled by formula below where both inputs exist</t>
  </si>
  <si>
    <t xml:space="preserve">Unit revenue — core express (reported)</t>
  </si>
  <si>
    <t xml:space="preserve">Company/press-reported core ASP. NETS OUT the delivery fee.</t>
  </si>
  <si>
    <t xml:space="preserve">Unit cost — reported basis</t>
  </si>
  <si>
    <t xml:space="preserve">Ex-delivery fee, ex-freight forwarding</t>
  </si>
  <si>
    <t xml:space="preserve">  Unit line-haul cost</t>
  </si>
  <si>
    <t xml:space="preserve">2025 -RMB0.05 YoY</t>
  </si>
  <si>
    <t xml:space="preserve">  Unit sorting cost</t>
  </si>
  <si>
    <t xml:space="preserve">2025 -RMB0.01 YoY</t>
  </si>
  <si>
    <t xml:space="preserve">Cash flow &amp; capex</t>
  </si>
  <si>
    <t xml:space="preserve">Net cash from operating activities</t>
  </si>
  <si>
    <t xml:space="preserve">Capital expenditure</t>
  </si>
  <si>
    <t xml:space="preserve">Cumulative 2016–23 capex RMB47.3bn (Huaxi). Annual series to be pulled from 20-F cash flow statements.</t>
  </si>
  <si>
    <t xml:space="preserve">ZTO's reported unit revenue and unit cost exclude the franchisee last-mile delivery fee, which is recorded net. To compare with YTO/STO/Yunda, add ~RMB1.25 to both.</t>
  </si>
  <si>
    <t xml:space="preserve">Gross margin fell from 33.3% (2017) to 25.0% (2025) — the clearest single measure of what a decade of price competition did to the best operator in the sector.</t>
  </si>
  <si>
    <r>
      <rPr>
        <b val="true"/>
        <sz val="13"/>
        <rFont val="Arial"/>
        <family val="0"/>
        <charset val="1"/>
      </rPr>
      <t xml:space="preserve">YTO Express </t>
    </r>
    <r>
      <rPr>
        <b val="true"/>
        <sz val="13"/>
        <rFont val="Noto Sans CJK SC"/>
        <family val="2"/>
      </rPr>
      <t xml:space="preserve">圆通速递 </t>
    </r>
    <r>
      <rPr>
        <b val="true"/>
        <sz val="13"/>
        <rFont val="Arial"/>
        <family val="0"/>
        <charset val="1"/>
      </rPr>
      <t xml:space="preserve">(SSE: 600233) — FY2016–FY2025</t>
    </r>
  </si>
  <si>
    <t xml:space="preserve">PRC GAAP, RMB. Source: annual reports on CNINFO. Reverse-merged onto the SSE in 2016.</t>
  </si>
  <si>
    <t xml:space="preserve">2023 derived from 2024's +25.32%</t>
  </si>
  <si>
    <t xml:space="preserve">2024 figure is express business revenue (+19.04%)</t>
  </si>
  <si>
    <t xml:space="preserve">  o/w express segment revenue</t>
  </si>
  <si>
    <t xml:space="preserve">+11.72% YoY</t>
  </si>
  <si>
    <t xml:space="preserve">Net profit attributable</t>
  </si>
  <si>
    <t xml:space="preserve">+7.73%</t>
  </si>
  <si>
    <t xml:space="preserve">  o/w express segment</t>
  </si>
  <si>
    <t xml:space="preserve">+7.14%; = RMB0.148 per parcel</t>
  </si>
  <si>
    <t xml:space="preserve">Express segment gross margin</t>
  </si>
  <si>
    <t xml:space="preserve">2022: 11.12%</t>
  </si>
  <si>
    <t xml:space="preserve">Unit revenue — express product</t>
  </si>
  <si>
    <t xml:space="preserve">2024 declined ~5%; 2025 -4.61%</t>
  </si>
  <si>
    <t xml:space="preserve">Unit cost — total</t>
  </si>
  <si>
    <t xml:space="preserve">2023 -5.99%. 2025 derived from ~9% segment gross margin; 1H25 disclosed at 2.02</t>
  </si>
  <si>
    <t xml:space="preserve">  Unit transport cost</t>
  </si>
  <si>
    <t xml:space="preserve">-10.35% YoY</t>
  </si>
  <si>
    <t xml:space="preserve">  Unit hub operating cost</t>
  </si>
  <si>
    <t xml:space="preserve">-3.75% YoY</t>
  </si>
  <si>
    <t xml:space="preserve">Cumulative 2016–23 capex RMB30.6bn (Huaxi). Annual series from CNINFO cash flow statements.</t>
  </si>
  <si>
    <t xml:space="preserve">YTO records the franchisee delivery fee GROSS, so its ~RMB2.2 unit revenue is directly comparable with STO and Yunda, and with J&amp;T China — but NOT with ZTO as reported.</t>
  </si>
  <si>
    <t xml:space="preserve">Its revenue mix includes freight forwarding and air/international, which run at different margins (2024: express 9.19%, freight forwarding 8.48%, international -9.69%). Use segment, not group, figures for unit economics.</t>
  </si>
  <si>
    <r>
      <rPr>
        <b val="true"/>
        <sz val="13"/>
        <rFont val="Arial"/>
        <family val="0"/>
        <charset val="1"/>
      </rPr>
      <t xml:space="preserve">STO Express </t>
    </r>
    <r>
      <rPr>
        <b val="true"/>
        <sz val="13"/>
        <rFont val="Noto Sans CJK SC"/>
        <family val="2"/>
      </rPr>
      <t xml:space="preserve">申通快递 </t>
    </r>
    <r>
      <rPr>
        <b val="true"/>
        <sz val="13"/>
        <rFont val="Arial"/>
        <family val="0"/>
        <charset val="1"/>
      </rPr>
      <t xml:space="preserve">(SZSE: 002468) — FY2016–FY2025</t>
    </r>
  </si>
  <si>
    <t xml:space="preserve">PRC GAAP, RMB. Source: annual reports on CNINFO. Reverse-merged into Aidixi (002468) in 2016.</t>
  </si>
  <si>
    <t xml:space="preserve">2022 +16.9% (fastest in sector that year); 2025 +15.0%</t>
  </si>
  <si>
    <t xml:space="preserve">Only name to gain share in 2024</t>
  </si>
  <si>
    <t xml:space="preserve">+17.84% YoY</t>
  </si>
  <si>
    <t xml:space="preserve">+205% YoY — fastest profit growth in the Tongda group</t>
  </si>
  <si>
    <t xml:space="preserve">Net profit ex-exceptionals</t>
  </si>
  <si>
    <t xml:space="preserve">+199.55%</t>
  </si>
  <si>
    <t xml:space="preserve">Unit revenue</t>
  </si>
  <si>
    <t xml:space="preserve">2025 uplift partly from Danniao consolidation in November</t>
  </si>
  <si>
    <t xml:space="preserve">2023 -10.9%; 2025 +RMB0.04</t>
  </si>
  <si>
    <t xml:space="preserve">  Unit pickup + delivery cost</t>
  </si>
  <si>
    <t xml:space="preserve">+RMB0.05. THE ANCHOR for normalising ZTO</t>
  </si>
  <si>
    <t xml:space="preserve">-RMB0.02</t>
  </si>
  <si>
    <t xml:space="preserve">+RMB0.02</t>
  </si>
  <si>
    <t xml:space="preserve">To be pulled from CNINFO cash flow statements</t>
  </si>
  <si>
    <t xml:space="preserve">STO has the best cost disclosure of the four — it publishes the full leg-level split (pickup+delivery / sorting / transport), which is what makes cross-company normalisation possible at all.</t>
  </si>
  <si>
    <r>
      <rPr>
        <sz val="9"/>
        <color rgb="FF595959"/>
        <rFont val="Arial"/>
        <family val="0"/>
        <charset val="1"/>
      </rPr>
      <t xml:space="preserve">Danniao (</t>
    </r>
    <r>
      <rPr>
        <sz val="9"/>
        <color rgb="FF595959"/>
        <rFont val="Noto Sans CJK SC"/>
        <family val="2"/>
      </rPr>
      <t xml:space="preserve">丹鸟</t>
    </r>
    <r>
      <rPr>
        <sz val="9"/>
        <color rgb="FF595959"/>
        <rFont val="Arial"/>
        <family val="0"/>
        <charset val="1"/>
      </rPr>
      <t xml:space="preserve">), acquired from Cainiao and consolidated from November 2025, lifts unit revenue but brings direct-network last-mile cost. FY2025 and FY2026 unit costs will not be comparable.</t>
    </r>
  </si>
  <si>
    <r>
      <rPr>
        <b val="true"/>
        <sz val="13"/>
        <rFont val="Arial"/>
        <family val="0"/>
        <charset val="1"/>
      </rPr>
      <t xml:space="preserve">Yunda Express </t>
    </r>
    <r>
      <rPr>
        <b val="true"/>
        <sz val="13"/>
        <rFont val="Noto Sans CJK SC"/>
        <family val="2"/>
      </rPr>
      <t xml:space="preserve">韵达股份 </t>
    </r>
    <r>
      <rPr>
        <b val="true"/>
        <sz val="13"/>
        <rFont val="Arial"/>
        <family val="0"/>
        <charset val="1"/>
      </rPr>
      <t xml:space="preserve">(SZSE: 002120) — FY2016–FY2025</t>
    </r>
  </si>
  <si>
    <t xml:space="preserve">PRC GAAP, RMB. Source: annual reports on SZSE/CNINFO. Reverse-merged into Xinhai (002120) in 2016.</t>
  </si>
  <si>
    <t xml:space="preserve">2022 -4.3%; 2024 +26.14%; 2025 +7.65%</t>
  </si>
  <si>
    <t xml:space="preserve">Three consecutive years of share loss</t>
  </si>
  <si>
    <t xml:space="preserve">2023 -5.17%; 2025 +6.04%</t>
  </si>
  <si>
    <t xml:space="preserve">  o/w express service revenue</t>
  </si>
  <si>
    <t xml:space="preserve">2024 +9.3%; 2025 +6.01%</t>
  </si>
  <si>
    <t xml:space="preserve">2025 -38.79% — the sharpest decline in the group</t>
  </si>
  <si>
    <t xml:space="preserve">2025 derived = express service revenue / volume. Quarterly path 1.98 / 1.91 / 1.95 / 2.14</t>
  </si>
  <si>
    <t xml:space="preserve">2025 DERIVED, ±RMB0.05 — Yunda publishes no headline unit total cost</t>
  </si>
  <si>
    <t xml:space="preserve">  Unit delivery fee</t>
  </si>
  <si>
    <t xml:space="preserve">-RMB0.13 YoY</t>
  </si>
  <si>
    <t xml:space="preserve">-RMB0.11 YoY; 2025 core unit op cost -10.29%</t>
  </si>
  <si>
    <t xml:space="preserve">broadly flat YoY</t>
  </si>
  <si>
    <t xml:space="preserve">Net profit per parcel</t>
  </si>
  <si>
    <t xml:space="preserve">Formula. ~RMB0.046 — roughly one fifth of ZTO's</t>
  </si>
  <si>
    <t xml:space="preserve">Yunda is the clearest case study in the sector: lowest unit cost of the four, and the weakest profitability. In 2025 it grew volume 7.65% and saw profit fall 38.8%.</t>
  </si>
  <si>
    <t xml:space="preserve">It discloses the delivery-fee line explicitly (RMB1.21 in 2023), which independently corroborates STO's RMB1.27 and J&amp;T's USD0.18.</t>
  </si>
  <si>
    <t xml:space="preserve">Cross-company unit economics</t>
  </si>
  <si>
    <t xml:space="preserve">RMB per parcel. Green = linked from company tabs. Read the normalisation warning before comparing ZTO with the rest.</t>
  </si>
  <si>
    <t xml:space="preserve">RMB per parcel</t>
  </si>
  <si>
    <t xml:space="preserve">Unit revenue (RMB)</t>
  </si>
  <si>
    <t xml:space="preserve">ZTO — as reported (NETS OUT delivery fee)</t>
  </si>
  <si>
    <t xml:space="preserve">Not comparable with the three below</t>
  </si>
  <si>
    <t xml:space="preserve">ZTO — normalised (+RMB1.25)</t>
  </si>
  <si>
    <t xml:space="preserve">Reported plus the assumed delivery fee</t>
  </si>
  <si>
    <t xml:space="preserve">Unit cost (RMB)</t>
  </si>
  <si>
    <t xml:space="preserve">ZTO — as reported</t>
  </si>
  <si>
    <t xml:space="preserve">Comparable legs — directly comparable across all four</t>
  </si>
  <si>
    <t xml:space="preserve">ZTO — line-haul</t>
  </si>
  <si>
    <t xml:space="preserve">YTO — transport</t>
  </si>
  <si>
    <t xml:space="preserve">STO — transport</t>
  </si>
  <si>
    <t xml:space="preserve">Yunda — transport</t>
  </si>
  <si>
    <t xml:space="preserve">ZTO — sorting</t>
  </si>
  <si>
    <t xml:space="preserve">YTO — hub operating</t>
  </si>
  <si>
    <t xml:space="preserve">STO — sorting</t>
  </si>
  <si>
    <t xml:space="preserve">Yunda — sorting</t>
  </si>
  <si>
    <t xml:space="preserve">Normalisation: ZTO nets the franchisee delivery fee out of both revenue and cost; the other three gross it up. The RMB1.25 add-back is anchored on STO's disclosed unit pickup-and-delivery cost of RMB1.27 (2025) and Yunda's disclosed unit delivery fee of RMB1.21 (2023).</t>
  </si>
  <si>
    <t xml:space="preserve">The transport and sorting rows at the bottom need NO adjustment — those legs are defined the same way by all four, and are the cleanest like-for-like efficiency comparison available.</t>
  </si>
  <si>
    <t xml:space="preserve">Sources &amp; where to fill the gaps</t>
  </si>
  <si>
    <t xml:space="preserve">Primary filing repositories listed first for each company.</t>
  </si>
  <si>
    <t xml:space="preserve">Company</t>
  </si>
  <si>
    <t xml:space="preserve">Document</t>
  </si>
  <si>
    <t xml:space="preserve">Type</t>
  </si>
  <si>
    <t xml:space="preserve">Link</t>
  </si>
  <si>
    <t xml:space="preserve">— PRIMARY REPOSITORIES —</t>
  </si>
  <si>
    <t xml:space="preserve">SEC EDGAR filing index, CIK 1677250 — all annual 6-K exhibits and 20-Fs</t>
  </si>
  <si>
    <t xml:space="preserve">Primary</t>
  </si>
  <si>
    <t xml:space="preserve">https://www.sec.gov/cgi-bin/browse-edgar?action=getcompany&amp;CIK=1677250&amp;type=6-K</t>
  </si>
  <si>
    <t xml:space="preserve">Investor room — all quarterly and annual releases</t>
  </si>
  <si>
    <t xml:space="preserve">https://zto.investorroom.com/</t>
  </si>
  <si>
    <t xml:space="preserve">YTO / STO / Yunda</t>
  </si>
  <si>
    <r>
      <rPr>
        <sz val="9"/>
        <color rgb="FF595959"/>
        <rFont val="Arial"/>
        <family val="0"/>
        <charset val="1"/>
      </rPr>
      <t xml:space="preserve">CNINFO — official PRC disclosure portal. Search ticker, filter </t>
    </r>
    <r>
      <rPr>
        <sz val="9"/>
        <color rgb="FF595959"/>
        <rFont val="Noto Sans CJK SC"/>
        <family val="2"/>
      </rPr>
      <t xml:space="preserve">年度报告</t>
    </r>
  </si>
  <si>
    <t xml:space="preserve">http://www.cninfo.com.cn/</t>
  </si>
  <si>
    <t xml:space="preserve">SZSE disclosure portal</t>
  </si>
  <si>
    <t xml:space="preserve">https://www.szse.cn/disclosure/listed/notice/</t>
  </si>
  <si>
    <t xml:space="preserve">— ZTO, YEAR BY YEAR —</t>
  </si>
  <si>
    <t xml:space="preserve">FY2018 results 6-K Ex-99.1 — full FY2017 &amp; FY2018 P&amp;L, cost lines, cash flow</t>
  </si>
  <si>
    <t xml:space="preserve">https://www.sec.gov/Archives/edgar/data/1677250/000110465919015351/a19-6586_1ex99d1.htm</t>
  </si>
  <si>
    <t xml:space="preserve">FY2019 results 6-K Ex-99.1 — 12.1bn parcels, OCF RMB6.3bn</t>
  </si>
  <si>
    <t xml:space="preserve">https://www.sec.gov/Archives/edgar/data/1677250/000110465920035558/a20-13098_1ex99d1.htm</t>
  </si>
  <si>
    <t xml:space="preserve">FY2021 results — 22.3bn parcels, revenue RMB30,405.8mn, OCF RMB7,220.2mn</t>
  </si>
  <si>
    <t xml:space="preserve">https://www.prnewswire.com/news-releases/zto-reports-fourth-quarter-2021-and-fiscal-year-2021-unaudited-financial-results-301504152.html</t>
  </si>
  <si>
    <t xml:space="preserve">FY2022 results — revenue RMB35,377.0mn, GP RMB9,039.3mn, adj NI RMB6,806.0mn</t>
  </si>
  <si>
    <t xml:space="preserve">https://zto.investorroom.com/2023-03-15-ZTO-Reports-Fourth-Quarter-2022-and-Full-Year-2022-Unaudited-Financial-Results</t>
  </si>
  <si>
    <t xml:space="preserve">FY2023 results — 30.2bn parcels, adj NI RMB9.0bn, OCF RMB13,361.0mn</t>
  </si>
  <si>
    <t xml:space="preserve">https://www.prnewswire.com/news-releases/zto-reports-fourth-quarter-2023-and-full-year-2023-unaudited-financial-results-302093211.html</t>
  </si>
  <si>
    <t xml:space="preserve">FY2024 results — adj NI RMB10.2bn, OCF RMB11,429.4mn</t>
  </si>
  <si>
    <t xml:space="preserve">https://www.prnewswire.com/apac/news-releases/zto-reports-fourth-quarter-2024-and-full-year-2024-unaudited-financial-results-302404760.html</t>
  </si>
  <si>
    <t xml:space="preserve">FY2024 earnings call — capex RMB5.9bn, COGS RMB30.6bn, GP RMB13.7bn, GM 31.0%</t>
  </si>
  <si>
    <t xml:space="preserve">Transcript</t>
  </si>
  <si>
    <t xml:space="preserve">https://finance.yahoo.com/news/zto-express-cayman-inc-zto-070029100.html</t>
  </si>
  <si>
    <t xml:space="preserve">FY2025 results 6-K Ex-99.1 — full P&amp;L and unit cost detail</t>
  </si>
  <si>
    <t xml:space="preserve">https://www.sec.gov/Archives/edgar/data/1677250/000110465926030007/tm269230d1_ex99-1.htm</t>
  </si>
  <si>
    <t xml:space="preserve">— A-SHARE NAMES —</t>
  </si>
  <si>
    <t xml:space="preserve">FY2025 annual report summary, CNINFO</t>
  </si>
  <si>
    <t xml:space="preserve">http://dataclouds.cninfo.com.cn/shgonggao/hsomarket/2026/20260422/fa3d52a190e54e3aae4a020d7823ec47.PDF</t>
  </si>
  <si>
    <t xml:space="preserve">FY2025 unit transport / hub cost detail</t>
  </si>
  <si>
    <t xml:space="preserve">Press</t>
  </si>
  <si>
    <t xml:space="preserve">https://stock.stockstar.com/IG2026042200052531.shtml</t>
  </si>
  <si>
    <t xml:space="preserve">FY2024 — volume 26.573bn, express revenue RMB60.9bn, segment gross margins</t>
  </si>
  <si>
    <t xml:space="preserve">https://www.stcn.com/article/detail/1734116.html</t>
  </si>
  <si>
    <t xml:space="preserve">FY2025 annual report summary, SZSE</t>
  </si>
  <si>
    <t xml:space="preserve">https://disc.static.szse.cn/disc/disk03/finalpage/2026-04-25/f6ea5552-0a7b-4f6c-a787-b4962bdf81ed.PDF</t>
  </si>
  <si>
    <t xml:space="preserve">FY2025 — revenue RMB51,475mn, net profit RMB1,171mn (-38.79%)</t>
  </si>
  <si>
    <t xml:space="preserve">https://finance.cnr.cn/ycbd/20260425/t20260425_527599983.shtml</t>
  </si>
  <si>
    <t xml:space="preserve">Yunda / YTO / STO</t>
  </si>
  <si>
    <t xml:space="preserve">FY2023 leg-level unit costs — Yunda 2.10 total (transport 0.50 / sorting 0.37 / delivery 1.21), YTO 2.18, STO 2.15</t>
  </si>
  <si>
    <t xml:space="preserve">Analysis</t>
  </si>
  <si>
    <t xml:space="preserve">https://news.qq.com/rain/a/20240501A06UW400</t>
  </si>
  <si>
    <t xml:space="preserve">STO / ZTO / J&amp;T</t>
  </si>
  <si>
    <t xml:space="preserve">FY2025 leg-level unit costs — STO 1.98 (1.27 / 0.31 / 0.39), ZTO 0.94, J&amp;T China USD0.28</t>
  </si>
  <si>
    <t xml:space="preserve">https://www.huxiu.com/article/4862999.html</t>
  </si>
  <si>
    <t xml:space="preserve">All four</t>
  </si>
  <si>
    <t xml:space="preserve">FY2024 volume and share table — ZTO 34.0bn, YTO 26.6bn, Yunda 23.8bn, STO 22.7bn</t>
  </si>
  <si>
    <t xml:space="preserve">https://www.nbd.com.cn/articles/2025-01-27/3738264.html</t>
  </si>
  <si>
    <t xml:space="preserve">FY2022 unit revenue table — SF 15.73, YTO 2.59, Yunda 2.55, STO 2.52, ZTO 1.34</t>
  </si>
  <si>
    <t xml:space="preserve">https://zhuanlan.zhihu.com/p/641739686</t>
  </si>
  <si>
    <t xml:space="preserve">Cumulative 2016–2023 capex — ZTO RMB47.3bn vs YTO RMB30.6bn</t>
  </si>
  <si>
    <t xml:space="preserve">Broker</t>
  </si>
  <si>
    <t xml:space="preserve">https://reportify-1252068037.cos.ap-beijing.myqcloud.com/media/production/s_c7800a1b_c7800a1b89250ed2fe72d28dca36baf7.pdf</t>
  </si>
  <si>
    <t xml:space="preserve">Industry</t>
  </si>
  <si>
    <t xml:space="preserve">State Post Bureau FY2025 — 199.0bn parcels, revenue RMB1.5tn</t>
  </si>
  <si>
    <t xml:space="preserve">https://www.chinanews.com.cn/cj/2026/01-22/10557017.shtml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</si>
</sst>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#,##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10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sec.gov/cgi-bin/browse-edgar?action=getcompany&amp;CIK=1677250&amp;type=6-K" TargetMode="External"/><Relationship Id="rId2" Type="http://schemas.openxmlformats.org/officeDocument/2006/relationships/hyperlink" Target="https://zto.investorroom.com/" TargetMode="External"/><Relationship Id="rId3" Type="http://schemas.openxmlformats.org/officeDocument/2006/relationships/hyperlink" Target="http://www.cninfo.com.cn/" TargetMode="External"/><Relationship Id="rId4" Type="http://schemas.openxmlformats.org/officeDocument/2006/relationships/hyperlink" Target="https://www.szse.cn/disclosure/listed/notice/" TargetMode="External"/><Relationship Id="rId5" Type="http://schemas.openxmlformats.org/officeDocument/2006/relationships/hyperlink" Target="https://www.sec.gov/Archives/edgar/data/1677250/000110465919015351/a19-6586_1ex99d1.htm" TargetMode="External"/><Relationship Id="rId6" Type="http://schemas.openxmlformats.org/officeDocument/2006/relationships/hyperlink" Target="https://www.sec.gov/Archives/edgar/data/1677250/000110465920035558/a20-13098_1ex99d1.htm" TargetMode="External"/><Relationship Id="rId7" Type="http://schemas.openxmlformats.org/officeDocument/2006/relationships/hyperlink" Target="https://www.prnewswire.com/news-releases/zto-reports-fourth-quarter-2021-and-fiscal-year-2021-unaudited-financial-results-301504152.html" TargetMode="External"/><Relationship Id="rId8" Type="http://schemas.openxmlformats.org/officeDocument/2006/relationships/hyperlink" Target="https://zto.investorroom.com/2023-03-15-ZTO-Reports-Fourth-Quarter-2022-and-Full-Year-2022-Unaudited-Financial-Results" TargetMode="External"/><Relationship Id="rId9" Type="http://schemas.openxmlformats.org/officeDocument/2006/relationships/hyperlink" Target="https://www.prnewswire.com/news-releases/zto-reports-fourth-quarter-2023-and-full-year-2023-unaudited-financial-results-302093211.html" TargetMode="External"/><Relationship Id="rId10" Type="http://schemas.openxmlformats.org/officeDocument/2006/relationships/hyperlink" Target="https://www.prnewswire.com/apac/news-releases/zto-reports-fourth-quarter-2024-and-full-year-2024-unaudited-financial-results-302404760.html" TargetMode="External"/><Relationship Id="rId11" Type="http://schemas.openxmlformats.org/officeDocument/2006/relationships/hyperlink" Target="https://finance.yahoo.com/news/zto-express-cayman-inc-zto-070029100.html" TargetMode="External"/><Relationship Id="rId12" Type="http://schemas.openxmlformats.org/officeDocument/2006/relationships/hyperlink" Target="https://www.sec.gov/Archives/edgar/data/1677250/000110465926030007/tm269230d1_ex99-1.htm" TargetMode="External"/><Relationship Id="rId13" Type="http://schemas.openxmlformats.org/officeDocument/2006/relationships/hyperlink" Target="http://dataclouds.cninfo.com.cn/shgonggao/hsomarket/2026/20260422/fa3d52a190e54e3aae4a020d7823ec47.PDF" TargetMode="External"/><Relationship Id="rId14" Type="http://schemas.openxmlformats.org/officeDocument/2006/relationships/hyperlink" Target="https://stock.stockstar.com/IG2026042200052531.shtml" TargetMode="External"/><Relationship Id="rId15" Type="http://schemas.openxmlformats.org/officeDocument/2006/relationships/hyperlink" Target="https://www.stcn.com/article/detail/1734116.html" TargetMode="External"/><Relationship Id="rId16" Type="http://schemas.openxmlformats.org/officeDocument/2006/relationships/hyperlink" Target="https://disc.static.szse.cn/disc/disk03/finalpage/2026-04-25/f6ea5552-0a7b-4f6c-a787-b4962bdf81ed.PDF" TargetMode="External"/><Relationship Id="rId17" Type="http://schemas.openxmlformats.org/officeDocument/2006/relationships/hyperlink" Target="https://finance.cnr.cn/ycbd/20260425/t20260425_527599983.shtml" TargetMode="External"/><Relationship Id="rId18" Type="http://schemas.openxmlformats.org/officeDocument/2006/relationships/hyperlink" Target="https://news.qq.com/rain/a/20240501A06UW400" TargetMode="External"/><Relationship Id="rId19" Type="http://schemas.openxmlformats.org/officeDocument/2006/relationships/hyperlink" Target="https://www.huxiu.com/article/4862999.html" TargetMode="External"/><Relationship Id="rId20" Type="http://schemas.openxmlformats.org/officeDocument/2006/relationships/hyperlink" Target="https://www.nbd.com.cn/articles/2025-01-27/3738264.html" TargetMode="External"/><Relationship Id="rId21" Type="http://schemas.openxmlformats.org/officeDocument/2006/relationships/hyperlink" Target="https://zhuanlan.zhihu.com/p/641739686" TargetMode="External"/><Relationship Id="rId22" Type="http://schemas.openxmlformats.org/officeDocument/2006/relationships/hyperlink" Target="https://reportify-1252068037.cos.ap-beijing.myqcloud.com/media/production/s_c7800a1b_c7800a1b89250ed2fe72d28dca36baf7.pdf" TargetMode="External"/><Relationship Id="rId23" Type="http://schemas.openxmlformats.org/officeDocument/2006/relationships/hyperlink" Target="https://www.chinanews.com.cn/cj/2026/01-22/10557017.s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0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6" hidden="false" customHeight="true" outlineLevel="0" collapsed="false">
      <c r="B5" s="3" t="s">
        <v>2</v>
      </c>
      <c r="C5" s="4" t="s">
        <v>3</v>
      </c>
    </row>
    <row r="6" customFormat="false" ht="36" hidden="false" customHeight="true" outlineLevel="0" collapsed="false">
      <c r="B6" s="3" t="s">
        <v>4</v>
      </c>
      <c r="C6" s="4" t="s">
        <v>5</v>
      </c>
    </row>
    <row r="7" customFormat="false" ht="48" hidden="false" customHeight="true" outlineLevel="0" collapsed="false">
      <c r="B7" s="3" t="s">
        <v>6</v>
      </c>
      <c r="C7" s="4" t="s">
        <v>7</v>
      </c>
    </row>
    <row r="8" customFormat="false" ht="60" hidden="false" customHeight="true" outlineLevel="0" collapsed="false">
      <c r="B8" s="3" t="s">
        <v>8</v>
      </c>
      <c r="C8" s="4" t="s">
        <v>9</v>
      </c>
    </row>
    <row r="9" customFormat="false" ht="36" hidden="false" customHeight="true" outlineLevel="0" collapsed="false">
      <c r="B9" s="3" t="s">
        <v>10</v>
      </c>
      <c r="C9" s="4" t="s">
        <v>11</v>
      </c>
    </row>
    <row r="10" customFormat="false" ht="36" hidden="false" customHeight="true" outlineLevel="0" collapsed="false">
      <c r="B10" s="3" t="s">
        <v>12</v>
      </c>
      <c r="C10" s="4" t="s">
        <v>13</v>
      </c>
    </row>
    <row r="12" customFormat="false" ht="16.15" hidden="false" customHeight="false" outlineLevel="0" collapsed="false">
      <c r="B12" s="1" t="s">
        <v>14</v>
      </c>
    </row>
    <row r="13" customFormat="false" ht="15" hidden="false" customHeight="false" outlineLevel="0" collapsed="false">
      <c r="B13" s="5" t="s">
        <v>15</v>
      </c>
      <c r="C13" s="6" t="s">
        <v>16</v>
      </c>
    </row>
    <row r="14" customFormat="false" ht="15" hidden="false" customHeight="false" outlineLevel="0" collapsed="false">
      <c r="B14" s="5" t="s">
        <v>17</v>
      </c>
      <c r="C14" s="6" t="s">
        <v>18</v>
      </c>
    </row>
    <row r="15" customFormat="false" ht="15" hidden="false" customHeight="false" outlineLevel="0" collapsed="false">
      <c r="B15" s="5" t="s">
        <v>19</v>
      </c>
      <c r="C15" s="6" t="s">
        <v>20</v>
      </c>
    </row>
    <row r="16" customFormat="false" ht="15" hidden="false" customHeight="false" outlineLevel="0" collapsed="false">
      <c r="B16" s="5" t="s">
        <v>21</v>
      </c>
      <c r="C16" s="6" t="s">
        <v>22</v>
      </c>
    </row>
    <row r="18" customFormat="false" ht="36" hidden="false" customHeight="true" outlineLevel="0" collapsed="false">
      <c r="B18" s="3" t="s">
        <v>23</v>
      </c>
      <c r="C18" s="4" t="s">
        <v>24</v>
      </c>
    </row>
    <row r="19" customFormat="false" ht="13.5" hidden="false" customHeight="true" outlineLevel="0" collapsed="false">
      <c r="B19" s="3" t="s">
        <v>25</v>
      </c>
      <c r="C19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1"/>
    <col collapsed="false" customWidth="true" hidden="false" outlineLevel="0" max="13" min="13" style="0" width="54"/>
  </cols>
  <sheetData>
    <row r="2" customFormat="false" ht="16.15" hidden="false" customHeight="false" outlineLevel="0" collapsed="false">
      <c r="B2" s="1" t="s">
        <v>27</v>
      </c>
    </row>
    <row r="3" customFormat="false" ht="15" hidden="false" customHeight="false" outlineLevel="0" collapsed="false">
      <c r="B3" s="2" t="s">
        <v>28</v>
      </c>
    </row>
    <row r="5" customFormat="false" ht="15" hidden="false" customHeight="false" outlineLevel="0" collapsed="false">
      <c r="B5" s="7" t="s">
        <v>29</v>
      </c>
      <c r="C5" s="8" t="n">
        <v>2016</v>
      </c>
      <c r="D5" s="8" t="n">
        <v>2017</v>
      </c>
      <c r="E5" s="8" t="n">
        <v>2018</v>
      </c>
      <c r="F5" s="8" t="n">
        <v>2019</v>
      </c>
      <c r="G5" s="8" t="n">
        <v>2020</v>
      </c>
      <c r="H5" s="8" t="n">
        <v>2021</v>
      </c>
      <c r="I5" s="8" t="n">
        <v>2022</v>
      </c>
      <c r="J5" s="8" t="n">
        <v>2023</v>
      </c>
      <c r="K5" s="8" t="n">
        <v>2024</v>
      </c>
      <c r="L5" s="8" t="n">
        <v>2025</v>
      </c>
      <c r="M5" s="7" t="s">
        <v>30</v>
      </c>
    </row>
    <row r="6" customFormat="false" ht="15" hidden="false" customHeight="false" outlineLevel="0" collapsed="false">
      <c r="B6" s="9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21.75" hidden="false" customHeight="true" outlineLevel="0" collapsed="false">
      <c r="B7" s="11" t="s">
        <v>32</v>
      </c>
      <c r="C7" s="12" t="n">
        <v>4460</v>
      </c>
      <c r="D7" s="13" t="n">
        <v>6219</v>
      </c>
      <c r="E7" s="13" t="n">
        <v>8524</v>
      </c>
      <c r="F7" s="12" t="n">
        <v>12122</v>
      </c>
      <c r="G7" s="12" t="n">
        <v>17010</v>
      </c>
      <c r="H7" s="13" t="n">
        <v>22300</v>
      </c>
      <c r="I7" s="13" t="n">
        <v>24400</v>
      </c>
      <c r="J7" s="13" t="n">
        <v>30202</v>
      </c>
      <c r="K7" s="13" t="n">
        <v>34013</v>
      </c>
      <c r="L7" s="13" t="n">
        <v>38500</v>
      </c>
      <c r="M7" s="6" t="s">
        <v>33</v>
      </c>
    </row>
    <row r="8" customFormat="false" ht="21.75" hidden="false" customHeight="true" outlineLevel="0" collapsed="false">
      <c r="B8" s="11" t="s">
        <v>34</v>
      </c>
      <c r="C8" s="14"/>
      <c r="D8" s="14"/>
      <c r="E8" s="15" t="n">
        <v>0.168</v>
      </c>
      <c r="F8" s="15" t="n">
        <v>0.191</v>
      </c>
      <c r="G8" s="14"/>
      <c r="H8" s="15" t="n">
        <v>0.206</v>
      </c>
      <c r="I8" s="15" t="n">
        <v>0.221</v>
      </c>
      <c r="J8" s="15" t="n">
        <v>0.229</v>
      </c>
      <c r="K8" s="14"/>
      <c r="L8" s="14"/>
      <c r="M8" s="6" t="s">
        <v>35</v>
      </c>
    </row>
    <row r="9" customFormat="false" ht="15" hidden="false" customHeight="false" outlineLevel="0" collapsed="false">
      <c r="B9" s="9" t="s">
        <v>36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B10" s="11" t="s">
        <v>37</v>
      </c>
      <c r="C10" s="12" t="n">
        <v>9786</v>
      </c>
      <c r="D10" s="13" t="n">
        <v>13060</v>
      </c>
      <c r="E10" s="13" t="n">
        <v>17604</v>
      </c>
      <c r="F10" s="12" t="n">
        <v>22110</v>
      </c>
      <c r="G10" s="12" t="n">
        <v>25214</v>
      </c>
      <c r="H10" s="13" t="n">
        <v>30406</v>
      </c>
      <c r="I10" s="13" t="n">
        <v>35377</v>
      </c>
      <c r="J10" s="12" t="n">
        <v>38419</v>
      </c>
      <c r="K10" s="12" t="n">
        <v>44281</v>
      </c>
      <c r="L10" s="13" t="n">
        <v>49099</v>
      </c>
      <c r="M10" s="6"/>
    </row>
    <row r="11" customFormat="false" ht="13.5" hidden="false" customHeight="true" outlineLevel="0" collapsed="false">
      <c r="B11" s="11" t="s">
        <v>38</v>
      </c>
      <c r="C11" s="14"/>
      <c r="D11" s="13" t="n">
        <v>12174</v>
      </c>
      <c r="E11" s="13" t="n">
        <v>15400</v>
      </c>
      <c r="F11" s="14"/>
      <c r="G11" s="14"/>
      <c r="H11" s="14"/>
      <c r="I11" s="14"/>
      <c r="J11" s="14"/>
      <c r="K11" s="14"/>
      <c r="L11" s="13" t="n">
        <v>45726</v>
      </c>
      <c r="M11" s="6" t="s">
        <v>39</v>
      </c>
    </row>
    <row r="12" customFormat="false" ht="15" hidden="false" customHeight="false" outlineLevel="0" collapsed="false">
      <c r="B12" s="11" t="s">
        <v>40</v>
      </c>
      <c r="C12" s="14"/>
      <c r="D12" s="13" t="n">
        <v>8714</v>
      </c>
      <c r="E12" s="13" t="n">
        <v>12240</v>
      </c>
      <c r="F12" s="14"/>
      <c r="G12" s="14"/>
      <c r="H12" s="14"/>
      <c r="I12" s="14"/>
      <c r="J12" s="14"/>
      <c r="K12" s="13" t="n">
        <v>30600</v>
      </c>
      <c r="L12" s="13" t="n">
        <v>36827</v>
      </c>
      <c r="M12" s="6"/>
    </row>
    <row r="13" customFormat="false" ht="15" hidden="false" customHeight="false" outlineLevel="0" collapsed="false">
      <c r="B13" s="11" t="s">
        <v>41</v>
      </c>
      <c r="C13" s="14"/>
      <c r="D13" s="13" t="n">
        <v>4798</v>
      </c>
      <c r="E13" s="13" t="n">
        <v>5758</v>
      </c>
      <c r="F13" s="14"/>
      <c r="G13" s="14"/>
      <c r="H13" s="14"/>
      <c r="I13" s="14"/>
      <c r="J13" s="14"/>
      <c r="K13" s="14"/>
      <c r="L13" s="13" t="n">
        <v>13971</v>
      </c>
      <c r="M13" s="6"/>
    </row>
    <row r="14" customFormat="false" ht="15" hidden="false" customHeight="false" outlineLevel="0" collapsed="false">
      <c r="B14" s="11" t="s">
        <v>42</v>
      </c>
      <c r="C14" s="14"/>
      <c r="D14" s="13" t="n">
        <v>2439</v>
      </c>
      <c r="E14" s="13" t="n">
        <v>3198</v>
      </c>
      <c r="F14" s="14"/>
      <c r="G14" s="14"/>
      <c r="H14" s="14"/>
      <c r="I14" s="14"/>
      <c r="J14" s="14"/>
      <c r="K14" s="14"/>
      <c r="L14" s="13" t="n">
        <v>9838</v>
      </c>
      <c r="M14" s="6"/>
    </row>
    <row r="15" customFormat="false" ht="15" hidden="false" customHeight="false" outlineLevel="0" collapsed="false">
      <c r="B15" s="11" t="s">
        <v>43</v>
      </c>
      <c r="C15" s="14"/>
      <c r="D15" s="13" t="n">
        <v>260</v>
      </c>
      <c r="E15" s="13" t="n">
        <v>1239</v>
      </c>
      <c r="F15" s="14"/>
      <c r="G15" s="14"/>
      <c r="H15" s="14"/>
      <c r="I15" s="14"/>
      <c r="J15" s="14"/>
      <c r="K15" s="14"/>
      <c r="L15" s="13" t="n">
        <v>760</v>
      </c>
      <c r="M15" s="6"/>
    </row>
    <row r="16" customFormat="false" ht="15" hidden="false" customHeight="false" outlineLevel="0" collapsed="false">
      <c r="B16" s="11" t="s">
        <v>44</v>
      </c>
      <c r="C16" s="14"/>
      <c r="D16" s="13" t="n">
        <v>367</v>
      </c>
      <c r="E16" s="13" t="n">
        <v>492</v>
      </c>
      <c r="F16" s="14"/>
      <c r="G16" s="14"/>
      <c r="H16" s="14"/>
      <c r="I16" s="14"/>
      <c r="J16" s="14"/>
      <c r="K16" s="14"/>
      <c r="L16" s="13" t="n">
        <v>578</v>
      </c>
      <c r="M16" s="6"/>
    </row>
    <row r="17" customFormat="false" ht="13.5" hidden="false" customHeight="true" outlineLevel="0" collapsed="false">
      <c r="B17" s="11" t="s">
        <v>45</v>
      </c>
      <c r="C17" s="14"/>
      <c r="D17" s="13" t="n">
        <v>851</v>
      </c>
      <c r="E17" s="13" t="n">
        <v>1553</v>
      </c>
      <c r="F17" s="14"/>
      <c r="G17" s="14"/>
      <c r="H17" s="14"/>
      <c r="I17" s="14"/>
      <c r="J17" s="14"/>
      <c r="K17" s="14"/>
      <c r="L17" s="13" t="n">
        <v>11681</v>
      </c>
      <c r="M17" s="6" t="s">
        <v>46</v>
      </c>
    </row>
    <row r="18" customFormat="false" ht="15" hidden="false" customHeight="false" outlineLevel="0" collapsed="false">
      <c r="B18" s="11" t="s">
        <v>47</v>
      </c>
      <c r="C18" s="14"/>
      <c r="D18" s="13" t="n">
        <v>4346</v>
      </c>
      <c r="E18" s="13" t="n">
        <v>5365</v>
      </c>
      <c r="F18" s="14"/>
      <c r="G18" s="14"/>
      <c r="H18" s="13" t="n">
        <v>6589</v>
      </c>
      <c r="I18" s="13" t="n">
        <v>9039</v>
      </c>
      <c r="J18" s="14"/>
      <c r="K18" s="13" t="n">
        <v>13700</v>
      </c>
      <c r="L18" s="13" t="n">
        <v>12272</v>
      </c>
      <c r="M18" s="6"/>
    </row>
    <row r="19" customFormat="false" ht="15" hidden="false" customHeight="false" outlineLevel="0" collapsed="false">
      <c r="B19" s="11" t="s">
        <v>48</v>
      </c>
      <c r="C19" s="14"/>
      <c r="D19" s="13" t="n">
        <v>781</v>
      </c>
      <c r="E19" s="13" t="n">
        <v>1211</v>
      </c>
      <c r="F19" s="14"/>
      <c r="G19" s="14"/>
      <c r="H19" s="14"/>
      <c r="I19" s="14"/>
      <c r="J19" s="14"/>
      <c r="K19" s="14"/>
      <c r="L19" s="13" t="n">
        <v>2638</v>
      </c>
      <c r="M19" s="6"/>
    </row>
    <row r="20" customFormat="false" ht="15" hidden="false" customHeight="false" outlineLevel="0" collapsed="false">
      <c r="B20" s="11" t="s">
        <v>49</v>
      </c>
      <c r="C20" s="14"/>
      <c r="D20" s="13" t="n">
        <v>3748</v>
      </c>
      <c r="E20" s="13" t="n">
        <v>4332</v>
      </c>
      <c r="F20" s="14"/>
      <c r="G20" s="14"/>
      <c r="H20" s="14"/>
      <c r="I20" s="14"/>
      <c r="J20" s="14"/>
      <c r="K20" s="14"/>
      <c r="L20" s="13" t="n">
        <v>10475</v>
      </c>
      <c r="M20" s="6"/>
    </row>
    <row r="21" customFormat="false" ht="13.5" hidden="false" customHeight="true" outlineLevel="0" collapsed="false">
      <c r="B21" s="11" t="s">
        <v>50</v>
      </c>
      <c r="C21" s="14"/>
      <c r="D21" s="13" t="n">
        <v>3159</v>
      </c>
      <c r="E21" s="13" t="n">
        <v>4388</v>
      </c>
      <c r="F21" s="14"/>
      <c r="G21" s="14"/>
      <c r="H21" s="13" t="n">
        <v>4701</v>
      </c>
      <c r="I21" s="13" t="n">
        <v>6659</v>
      </c>
      <c r="J21" s="13" t="n">
        <v>8755</v>
      </c>
      <c r="K21" s="13" t="n">
        <v>8888</v>
      </c>
      <c r="L21" s="13" t="n">
        <v>9513</v>
      </c>
      <c r="M21" s="6" t="s">
        <v>51</v>
      </c>
    </row>
    <row r="22" customFormat="false" ht="15" hidden="false" customHeight="false" outlineLevel="0" collapsed="false">
      <c r="B22" s="11" t="s">
        <v>52</v>
      </c>
      <c r="C22" s="14"/>
      <c r="D22" s="13" t="n">
        <v>3230</v>
      </c>
      <c r="E22" s="13" t="n">
        <v>4201</v>
      </c>
      <c r="F22" s="13" t="n">
        <v>5300</v>
      </c>
      <c r="G22" s="14"/>
      <c r="H22" s="13" t="n">
        <v>4900</v>
      </c>
      <c r="I22" s="13" t="n">
        <v>6806</v>
      </c>
      <c r="J22" s="13" t="n">
        <v>9000</v>
      </c>
      <c r="K22" s="13" t="n">
        <v>10200</v>
      </c>
      <c r="L22" s="13" t="n">
        <v>9513</v>
      </c>
      <c r="M22" s="6"/>
    </row>
    <row r="23" customFormat="false" ht="15" hidden="false" customHeight="false" outlineLevel="0" collapsed="false">
      <c r="B23" s="11" t="s">
        <v>53</v>
      </c>
      <c r="C23" s="14"/>
      <c r="D23" s="13" t="n">
        <v>4452</v>
      </c>
      <c r="E23" s="13" t="n">
        <v>5858</v>
      </c>
      <c r="F23" s="14"/>
      <c r="G23" s="13" t="n">
        <v>7155</v>
      </c>
      <c r="H23" s="13" t="n">
        <v>8301</v>
      </c>
      <c r="I23" s="13" t="n">
        <v>11289</v>
      </c>
      <c r="J23" s="14"/>
      <c r="K23" s="13" t="n">
        <v>16400</v>
      </c>
      <c r="L23" s="14"/>
      <c r="M23" s="6"/>
    </row>
    <row r="24" customFormat="false" ht="15" hidden="false" customHeight="false" outlineLevel="0" collapsed="false">
      <c r="B24" s="9" t="s">
        <v>54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customFormat="false" ht="13.5" hidden="false" customHeight="true" outlineLevel="0" collapsed="false">
      <c r="B25" s="11" t="s">
        <v>55</v>
      </c>
      <c r="C25" s="14"/>
      <c r="D25" s="16" t="n">
        <f aca="false">D18/D10</f>
        <v>0.332771822358346</v>
      </c>
      <c r="E25" s="16" t="n">
        <f aca="false">E18/E10</f>
        <v>0.304760281754147</v>
      </c>
      <c r="F25" s="14"/>
      <c r="G25" s="14"/>
      <c r="H25" s="16" t="n">
        <f aca="false">H18/H10</f>
        <v>0.216700651187266</v>
      </c>
      <c r="I25" s="16" t="n">
        <f aca="false">I18/I10</f>
        <v>0.255504989117223</v>
      </c>
      <c r="J25" s="14"/>
      <c r="K25" s="16" t="n">
        <f aca="false">K18/K10</f>
        <v>0.309387773537183</v>
      </c>
      <c r="L25" s="16" t="n">
        <f aca="false">L18/L10</f>
        <v>0.249943990712642</v>
      </c>
      <c r="M25" s="6" t="s">
        <v>56</v>
      </c>
    </row>
    <row r="26" customFormat="false" ht="15" hidden="false" customHeight="false" outlineLevel="0" collapsed="false">
      <c r="B26" s="11" t="s">
        <v>57</v>
      </c>
      <c r="C26" s="14"/>
      <c r="D26" s="16" t="n">
        <f aca="false">D21/D10</f>
        <v>0.241883614088821</v>
      </c>
      <c r="E26" s="16" t="n">
        <f aca="false">E21/E10</f>
        <v>0.24926153147012</v>
      </c>
      <c r="F26" s="14"/>
      <c r="G26" s="14"/>
      <c r="H26" s="16" t="n">
        <f aca="false">H21/H10</f>
        <v>0.15460764322831</v>
      </c>
      <c r="I26" s="16" t="n">
        <f aca="false">I21/I10</f>
        <v>0.188229640727026</v>
      </c>
      <c r="J26" s="14"/>
      <c r="K26" s="16" t="n">
        <f aca="false">K21/K10</f>
        <v>0.200718140963393</v>
      </c>
      <c r="L26" s="16" t="n">
        <f aca="false">L21/L10</f>
        <v>0.193751400232184</v>
      </c>
      <c r="M26" s="6"/>
    </row>
    <row r="27" customFormat="false" ht="15" hidden="false" customHeight="false" outlineLevel="0" collapsed="false">
      <c r="B27" s="9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customFormat="false" ht="13.5" hidden="false" customHeight="true" outlineLevel="0" collapsed="false">
      <c r="B28" s="11" t="s">
        <v>59</v>
      </c>
      <c r="C28" s="17" t="n">
        <f aca="false">IFERROR(C10/C7,"")</f>
        <v>2.19417040358744</v>
      </c>
      <c r="D28" s="17" t="n">
        <f aca="false">IFERROR(D10/D7,"")</f>
        <v>2.10001607975559</v>
      </c>
      <c r="E28" s="17" t="n">
        <f aca="false">IFERROR(E10/E7,"")</f>
        <v>2.06522759267949</v>
      </c>
      <c r="F28" s="17" t="n">
        <f aca="false">IFERROR(F10/F7,"")</f>
        <v>1.82395644283122</v>
      </c>
      <c r="G28" s="17" t="n">
        <f aca="false">IFERROR(G10/G7,"")</f>
        <v>1.48230452674897</v>
      </c>
      <c r="H28" s="17" t="n">
        <f aca="false">IFERROR(H10/H7,"")</f>
        <v>1.36349775784753</v>
      </c>
      <c r="I28" s="17" t="n">
        <f aca="false">IFERROR(I10/I7,"")</f>
        <v>1.44987704918033</v>
      </c>
      <c r="J28" s="17" t="n">
        <f aca="false">IFERROR(J10/J7,"")</f>
        <v>1.27206807496192</v>
      </c>
      <c r="K28" s="17" t="n">
        <f aca="false">IFERROR(K10/K7,"")</f>
        <v>1.30188457354541</v>
      </c>
      <c r="L28" s="17" t="n">
        <f aca="false">IFERROR(L10/L7,"")</f>
        <v>1.2752987012987</v>
      </c>
      <c r="M28" s="6" t="s">
        <v>60</v>
      </c>
    </row>
    <row r="29" customFormat="false" ht="21.75" hidden="false" customHeight="true" outlineLevel="0" collapsed="false">
      <c r="B29" s="11" t="s">
        <v>61</v>
      </c>
      <c r="C29" s="14"/>
      <c r="D29" s="14"/>
      <c r="E29" s="14"/>
      <c r="F29" s="14"/>
      <c r="G29" s="14"/>
      <c r="H29" s="14"/>
      <c r="I29" s="18" t="n">
        <v>1.34</v>
      </c>
      <c r="J29" s="18" t="n">
        <v>1.24</v>
      </c>
      <c r="K29" s="14"/>
      <c r="L29" s="14"/>
      <c r="M29" s="6" t="s">
        <v>62</v>
      </c>
    </row>
    <row r="30" customFormat="false" ht="13.5" hidden="false" customHeight="true" outlineLevel="0" collapsed="false">
      <c r="B30" s="11" t="s">
        <v>63</v>
      </c>
      <c r="C30" s="14"/>
      <c r="D30" s="14"/>
      <c r="E30" s="14"/>
      <c r="F30" s="14"/>
      <c r="G30" s="14"/>
      <c r="H30" s="14"/>
      <c r="I30" s="14"/>
      <c r="J30" s="18" t="n">
        <v>0.86</v>
      </c>
      <c r="K30" s="14"/>
      <c r="L30" s="18" t="n">
        <v>0.94</v>
      </c>
      <c r="M30" s="6" t="s">
        <v>64</v>
      </c>
    </row>
    <row r="31" customFormat="false" ht="13.5" hidden="false" customHeight="true" outlineLevel="0" collapsed="false">
      <c r="B31" s="11" t="s">
        <v>65</v>
      </c>
      <c r="C31" s="14"/>
      <c r="D31" s="14"/>
      <c r="E31" s="14"/>
      <c r="F31" s="14"/>
      <c r="G31" s="14"/>
      <c r="H31" s="14"/>
      <c r="I31" s="14"/>
      <c r="J31" s="14"/>
      <c r="K31" s="14"/>
      <c r="L31" s="18" t="n">
        <v>0.36</v>
      </c>
      <c r="M31" s="6" t="s">
        <v>66</v>
      </c>
    </row>
    <row r="32" customFormat="false" ht="13.5" hidden="false" customHeight="true" outlineLevel="0" collapsed="false">
      <c r="B32" s="11" t="s">
        <v>67</v>
      </c>
      <c r="C32" s="14"/>
      <c r="D32" s="14"/>
      <c r="E32" s="14"/>
      <c r="F32" s="14"/>
      <c r="G32" s="14"/>
      <c r="H32" s="14"/>
      <c r="I32" s="14"/>
      <c r="J32" s="14"/>
      <c r="K32" s="14"/>
      <c r="L32" s="18" t="n">
        <v>0.26</v>
      </c>
      <c r="M32" s="6" t="s">
        <v>68</v>
      </c>
    </row>
    <row r="33" customFormat="false" ht="15" hidden="false" customHeight="false" outlineLevel="0" collapsed="false">
      <c r="B33" s="9" t="s">
        <v>69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5" hidden="false" customHeight="false" outlineLevel="0" collapsed="false">
      <c r="B34" s="11" t="s">
        <v>70</v>
      </c>
      <c r="C34" s="14"/>
      <c r="D34" s="13" t="n">
        <v>3631</v>
      </c>
      <c r="E34" s="13" t="n">
        <v>4404</v>
      </c>
      <c r="F34" s="13" t="n">
        <v>6304</v>
      </c>
      <c r="G34" s="13" t="n">
        <v>4951</v>
      </c>
      <c r="H34" s="13" t="n">
        <v>7220</v>
      </c>
      <c r="I34" s="13" t="n">
        <v>11479</v>
      </c>
      <c r="J34" s="13" t="n">
        <v>13361</v>
      </c>
      <c r="K34" s="13" t="n">
        <v>11429</v>
      </c>
      <c r="L34" s="14"/>
      <c r="M34" s="6"/>
    </row>
    <row r="35" customFormat="false" ht="21.75" hidden="false" customHeight="true" outlineLevel="0" collapsed="false">
      <c r="B35" s="11" t="s">
        <v>71</v>
      </c>
      <c r="C35" s="14"/>
      <c r="D35" s="14"/>
      <c r="E35" s="14"/>
      <c r="F35" s="14"/>
      <c r="G35" s="14"/>
      <c r="H35" s="14"/>
      <c r="I35" s="14"/>
      <c r="J35" s="14"/>
      <c r="K35" s="13" t="n">
        <v>5900</v>
      </c>
      <c r="L35" s="14"/>
      <c r="M35" s="6" t="s">
        <v>72</v>
      </c>
    </row>
    <row r="37" customFormat="false" ht="24" hidden="false" customHeight="true" outlineLevel="0" collapsed="false">
      <c r="B37" s="19" t="s">
        <v>73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customFormat="false" ht="24" hidden="false" customHeight="true" outlineLevel="0" collapsed="false">
      <c r="B38" s="19" t="s">
        <v>74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</sheetData>
  <mergeCells count="2">
    <mergeCell ref="B37:M37"/>
    <mergeCell ref="B38:M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1"/>
    <col collapsed="false" customWidth="true" hidden="false" outlineLevel="0" max="13" min="13" style="0" width="54"/>
  </cols>
  <sheetData>
    <row r="2" customFormat="false" ht="20.1" hidden="false" customHeight="false" outlineLevel="0" collapsed="false">
      <c r="B2" s="1" t="s">
        <v>75</v>
      </c>
    </row>
    <row r="3" customFormat="false" ht="15" hidden="false" customHeight="false" outlineLevel="0" collapsed="false">
      <c r="B3" s="2" t="s">
        <v>76</v>
      </c>
    </row>
    <row r="5" customFormat="false" ht="15" hidden="false" customHeight="false" outlineLevel="0" collapsed="false">
      <c r="B5" s="7" t="s">
        <v>29</v>
      </c>
      <c r="C5" s="8" t="n">
        <v>2016</v>
      </c>
      <c r="D5" s="8" t="n">
        <v>2017</v>
      </c>
      <c r="E5" s="8" t="n">
        <v>2018</v>
      </c>
      <c r="F5" s="8" t="n">
        <v>2019</v>
      </c>
      <c r="G5" s="8" t="n">
        <v>2020</v>
      </c>
      <c r="H5" s="8" t="n">
        <v>2021</v>
      </c>
      <c r="I5" s="8" t="n">
        <v>2022</v>
      </c>
      <c r="J5" s="8" t="n">
        <v>2023</v>
      </c>
      <c r="K5" s="8" t="n">
        <v>2024</v>
      </c>
      <c r="L5" s="8" t="n">
        <v>2025</v>
      </c>
      <c r="M5" s="7" t="s">
        <v>30</v>
      </c>
    </row>
    <row r="6" customFormat="false" ht="15" hidden="false" customHeight="false" outlineLevel="0" collapsed="false">
      <c r="B6" s="9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13.5" hidden="false" customHeight="true" outlineLevel="0" collapsed="false">
      <c r="B7" s="11" t="s">
        <v>32</v>
      </c>
      <c r="C7" s="14"/>
      <c r="D7" s="14"/>
      <c r="E7" s="14"/>
      <c r="F7" s="14"/>
      <c r="G7" s="14"/>
      <c r="H7" s="14"/>
      <c r="I7" s="13" t="n">
        <v>17400</v>
      </c>
      <c r="J7" s="13" t="n">
        <v>21200</v>
      </c>
      <c r="K7" s="13" t="n">
        <v>26573</v>
      </c>
      <c r="L7" s="13" t="n">
        <v>31144</v>
      </c>
      <c r="M7" s="6" t="s">
        <v>77</v>
      </c>
    </row>
    <row r="8" customFormat="false" ht="15" hidden="false" customHeight="false" outlineLevel="0" collapsed="false">
      <c r="B8" s="11" t="s">
        <v>34</v>
      </c>
      <c r="C8" s="14"/>
      <c r="D8" s="14"/>
      <c r="E8" s="14"/>
      <c r="F8" s="14"/>
      <c r="G8" s="14"/>
      <c r="H8" s="14"/>
      <c r="I8" s="14"/>
      <c r="J8" s="14"/>
      <c r="K8" s="15" t="n">
        <v>0.1518</v>
      </c>
      <c r="L8" s="14"/>
      <c r="M8" s="6"/>
    </row>
    <row r="9" customFormat="false" ht="15" hidden="false" customHeight="false" outlineLevel="0" collapsed="false">
      <c r="B9" s="9" t="s">
        <v>36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3.5" hidden="false" customHeight="true" outlineLevel="0" collapsed="false">
      <c r="B10" s="11" t="s">
        <v>37</v>
      </c>
      <c r="C10" s="14"/>
      <c r="D10" s="14"/>
      <c r="E10" s="14"/>
      <c r="F10" s="14"/>
      <c r="G10" s="14"/>
      <c r="H10" s="14"/>
      <c r="I10" s="14"/>
      <c r="J10" s="14"/>
      <c r="K10" s="13" t="n">
        <v>60900</v>
      </c>
      <c r="L10" s="13" t="n">
        <v>75277</v>
      </c>
      <c r="M10" s="6" t="s">
        <v>78</v>
      </c>
    </row>
    <row r="11" customFormat="false" ht="13.5" hidden="false" customHeight="true" outlineLevel="0" collapsed="false">
      <c r="B11" s="11" t="s">
        <v>79</v>
      </c>
      <c r="C11" s="14"/>
      <c r="D11" s="14"/>
      <c r="E11" s="14"/>
      <c r="F11" s="14"/>
      <c r="G11" s="14"/>
      <c r="H11" s="14"/>
      <c r="I11" s="14"/>
      <c r="J11" s="14"/>
      <c r="K11" s="14"/>
      <c r="L11" s="13" t="n">
        <v>69590</v>
      </c>
      <c r="M11" s="6" t="s">
        <v>80</v>
      </c>
    </row>
    <row r="12" customFormat="false" ht="13.5" hidden="false" customHeight="true" outlineLevel="0" collapsed="false">
      <c r="B12" s="11" t="s">
        <v>81</v>
      </c>
      <c r="C12" s="14"/>
      <c r="D12" s="14"/>
      <c r="E12" s="14"/>
      <c r="F12" s="14"/>
      <c r="G12" s="14"/>
      <c r="H12" s="14"/>
      <c r="I12" s="14"/>
      <c r="J12" s="14"/>
      <c r="K12" s="14"/>
      <c r="L12" s="13" t="n">
        <v>4322</v>
      </c>
      <c r="M12" s="6" t="s">
        <v>82</v>
      </c>
    </row>
    <row r="13" customFormat="false" ht="13.5" hidden="false" customHeight="true" outlineLevel="0" collapsed="false">
      <c r="B13" s="11" t="s">
        <v>83</v>
      </c>
      <c r="C13" s="14"/>
      <c r="D13" s="14"/>
      <c r="E13" s="14"/>
      <c r="F13" s="14"/>
      <c r="G13" s="14"/>
      <c r="H13" s="14"/>
      <c r="I13" s="14"/>
      <c r="J13" s="14"/>
      <c r="K13" s="14"/>
      <c r="L13" s="13" t="n">
        <v>4614</v>
      </c>
      <c r="M13" s="6" t="s">
        <v>84</v>
      </c>
    </row>
    <row r="14" customFormat="false" ht="15" hidden="false" customHeight="false" outlineLevel="0" collapsed="false">
      <c r="B14" s="9" t="s">
        <v>54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13.5" hidden="false" customHeight="true" outlineLevel="0" collapsed="false">
      <c r="B15" s="11" t="s">
        <v>85</v>
      </c>
      <c r="C15" s="14"/>
      <c r="D15" s="14"/>
      <c r="E15" s="14"/>
      <c r="F15" s="14"/>
      <c r="G15" s="14"/>
      <c r="H15" s="14"/>
      <c r="I15" s="14"/>
      <c r="J15" s="15" t="n">
        <v>0.1027</v>
      </c>
      <c r="K15" s="15" t="n">
        <v>0.0919</v>
      </c>
      <c r="L15" s="15" t="n">
        <v>0.09</v>
      </c>
      <c r="M15" s="6" t="s">
        <v>86</v>
      </c>
    </row>
    <row r="16" customFormat="false" ht="15" hidden="false" customHeight="false" outlineLevel="0" collapsed="false">
      <c r="B16" s="9" t="s">
        <v>58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13.5" hidden="false" customHeight="true" outlineLevel="0" collapsed="false">
      <c r="B17" s="11" t="s">
        <v>87</v>
      </c>
      <c r="C17" s="14"/>
      <c r="D17" s="14"/>
      <c r="E17" s="14"/>
      <c r="F17" s="14"/>
      <c r="G17" s="14"/>
      <c r="H17" s="14"/>
      <c r="I17" s="18" t="n">
        <v>2.59</v>
      </c>
      <c r="J17" s="18" t="n">
        <v>2.41</v>
      </c>
      <c r="K17" s="14"/>
      <c r="L17" s="18" t="n">
        <v>2.19</v>
      </c>
      <c r="M17" s="6" t="s">
        <v>88</v>
      </c>
    </row>
    <row r="18" customFormat="false" ht="21.75" hidden="false" customHeight="true" outlineLevel="0" collapsed="false">
      <c r="B18" s="11" t="s">
        <v>89</v>
      </c>
      <c r="C18" s="14"/>
      <c r="D18" s="14"/>
      <c r="E18" s="14"/>
      <c r="F18" s="14"/>
      <c r="G18" s="14"/>
      <c r="H18" s="14"/>
      <c r="I18" s="14"/>
      <c r="J18" s="18" t="n">
        <v>2.18</v>
      </c>
      <c r="K18" s="14"/>
      <c r="L18" s="18" t="n">
        <v>2</v>
      </c>
      <c r="M18" s="6" t="s">
        <v>90</v>
      </c>
    </row>
    <row r="19" customFormat="false" ht="13.5" hidden="false" customHeight="true" outlineLevel="0" collapsed="false">
      <c r="B19" s="11" t="s">
        <v>91</v>
      </c>
      <c r="C19" s="14"/>
      <c r="D19" s="14"/>
      <c r="E19" s="14"/>
      <c r="F19" s="14"/>
      <c r="G19" s="14"/>
      <c r="H19" s="14"/>
      <c r="I19" s="14"/>
      <c r="J19" s="14"/>
      <c r="K19" s="14"/>
      <c r="L19" s="18" t="n">
        <v>0.37</v>
      </c>
      <c r="M19" s="6" t="s">
        <v>92</v>
      </c>
    </row>
    <row r="20" customFormat="false" ht="13.5" hidden="false" customHeight="true" outlineLevel="0" collapsed="false">
      <c r="B20" s="11" t="s">
        <v>93</v>
      </c>
      <c r="C20" s="14"/>
      <c r="D20" s="14"/>
      <c r="E20" s="14"/>
      <c r="F20" s="14"/>
      <c r="G20" s="14"/>
      <c r="H20" s="14"/>
      <c r="I20" s="14"/>
      <c r="J20" s="14"/>
      <c r="K20" s="14"/>
      <c r="L20" s="18" t="n">
        <v>0.27</v>
      </c>
      <c r="M20" s="6" t="s">
        <v>94</v>
      </c>
    </row>
    <row r="21" customFormat="false" ht="15" hidden="false" customHeight="false" outlineLevel="0" collapsed="false">
      <c r="B21" s="9" t="s">
        <v>69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21.75" hidden="false" customHeight="true" outlineLevel="0" collapsed="false">
      <c r="B22" s="11" t="s">
        <v>71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6" t="s">
        <v>95</v>
      </c>
    </row>
    <row r="24" customFormat="false" ht="24" hidden="false" customHeight="true" outlineLevel="0" collapsed="false">
      <c r="B24" s="19" t="s">
        <v>96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customFormat="false" ht="24" hidden="false" customHeight="true" outlineLevel="0" collapsed="false">
      <c r="B25" s="19" t="s">
        <v>97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</sheetData>
  <mergeCells count="2">
    <mergeCell ref="B24:M24"/>
    <mergeCell ref="B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1"/>
    <col collapsed="false" customWidth="true" hidden="false" outlineLevel="0" max="13" min="13" style="0" width="54"/>
  </cols>
  <sheetData>
    <row r="2" customFormat="false" ht="20.1" hidden="false" customHeight="false" outlineLevel="0" collapsed="false">
      <c r="B2" s="1" t="s">
        <v>98</v>
      </c>
    </row>
    <row r="3" customFormat="false" ht="15" hidden="false" customHeight="false" outlineLevel="0" collapsed="false">
      <c r="B3" s="2" t="s">
        <v>99</v>
      </c>
    </row>
    <row r="5" customFormat="false" ht="15" hidden="false" customHeight="false" outlineLevel="0" collapsed="false">
      <c r="B5" s="7" t="s">
        <v>29</v>
      </c>
      <c r="C5" s="8" t="n">
        <v>2016</v>
      </c>
      <c r="D5" s="8" t="n">
        <v>2017</v>
      </c>
      <c r="E5" s="8" t="n">
        <v>2018</v>
      </c>
      <c r="F5" s="8" t="n">
        <v>2019</v>
      </c>
      <c r="G5" s="8" t="n">
        <v>2020</v>
      </c>
      <c r="H5" s="8" t="n">
        <v>2021</v>
      </c>
      <c r="I5" s="8" t="n">
        <v>2022</v>
      </c>
      <c r="J5" s="8" t="n">
        <v>2023</v>
      </c>
      <c r="K5" s="8" t="n">
        <v>2024</v>
      </c>
      <c r="L5" s="8" t="n">
        <v>2025</v>
      </c>
      <c r="M5" s="7" t="s">
        <v>30</v>
      </c>
    </row>
    <row r="6" customFormat="false" ht="15" hidden="false" customHeight="false" outlineLevel="0" collapsed="false">
      <c r="B6" s="9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21.75" hidden="false" customHeight="true" outlineLevel="0" collapsed="false">
      <c r="B7" s="11" t="s">
        <v>32</v>
      </c>
      <c r="C7" s="14"/>
      <c r="D7" s="14"/>
      <c r="E7" s="14"/>
      <c r="F7" s="14"/>
      <c r="G7" s="14"/>
      <c r="H7" s="14"/>
      <c r="I7" s="13" t="n">
        <v>12900</v>
      </c>
      <c r="J7" s="14"/>
      <c r="K7" s="13" t="n">
        <v>22700</v>
      </c>
      <c r="L7" s="13" t="n">
        <v>26139</v>
      </c>
      <c r="M7" s="6" t="s">
        <v>100</v>
      </c>
    </row>
    <row r="8" customFormat="false" ht="13.5" hidden="false" customHeight="true" outlineLevel="0" collapsed="false">
      <c r="B8" s="11" t="s">
        <v>34</v>
      </c>
      <c r="C8" s="14"/>
      <c r="D8" s="14"/>
      <c r="E8" s="14"/>
      <c r="F8" s="14"/>
      <c r="G8" s="14"/>
      <c r="H8" s="14"/>
      <c r="I8" s="14"/>
      <c r="J8" s="14"/>
      <c r="K8" s="15" t="n">
        <v>0.1298</v>
      </c>
      <c r="L8" s="14"/>
      <c r="M8" s="6" t="s">
        <v>101</v>
      </c>
    </row>
    <row r="9" customFormat="false" ht="15" hidden="false" customHeight="false" outlineLevel="0" collapsed="false">
      <c r="B9" s="9" t="s">
        <v>36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3.5" hidden="false" customHeight="true" outlineLevel="0" collapsed="false">
      <c r="B10" s="11" t="s">
        <v>37</v>
      </c>
      <c r="C10" s="14"/>
      <c r="D10" s="14"/>
      <c r="E10" s="14"/>
      <c r="F10" s="14"/>
      <c r="G10" s="14"/>
      <c r="H10" s="14"/>
      <c r="I10" s="14"/>
      <c r="J10" s="14"/>
      <c r="K10" s="14"/>
      <c r="L10" s="13" t="n">
        <v>55586</v>
      </c>
      <c r="M10" s="6" t="s">
        <v>102</v>
      </c>
    </row>
    <row r="11" customFormat="false" ht="13.5" hidden="false" customHeight="true" outlineLevel="0" collapsed="false">
      <c r="B11" s="11" t="s">
        <v>81</v>
      </c>
      <c r="C11" s="14"/>
      <c r="D11" s="14"/>
      <c r="E11" s="14"/>
      <c r="F11" s="14"/>
      <c r="G11" s="14"/>
      <c r="H11" s="14"/>
      <c r="I11" s="14"/>
      <c r="J11" s="14"/>
      <c r="K11" s="13" t="n">
        <v>1040</v>
      </c>
      <c r="L11" s="14"/>
      <c r="M11" s="6" t="s">
        <v>103</v>
      </c>
    </row>
    <row r="12" customFormat="false" ht="13.5" hidden="false" customHeight="true" outlineLevel="0" collapsed="false">
      <c r="B12" s="11" t="s">
        <v>104</v>
      </c>
      <c r="C12" s="14"/>
      <c r="D12" s="14"/>
      <c r="E12" s="14"/>
      <c r="F12" s="14"/>
      <c r="G12" s="14"/>
      <c r="H12" s="14"/>
      <c r="I12" s="14"/>
      <c r="J12" s="14"/>
      <c r="K12" s="13" t="n">
        <v>1017</v>
      </c>
      <c r="L12" s="14"/>
      <c r="M12" s="6" t="s">
        <v>105</v>
      </c>
    </row>
    <row r="13" customFormat="false" ht="15" hidden="false" customHeight="false" outlineLevel="0" collapsed="false">
      <c r="B13" s="9" t="s">
        <v>58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21.75" hidden="false" customHeight="true" outlineLevel="0" collapsed="false">
      <c r="B14" s="11" t="s">
        <v>106</v>
      </c>
      <c r="C14" s="14"/>
      <c r="D14" s="14"/>
      <c r="E14" s="14"/>
      <c r="F14" s="14"/>
      <c r="G14" s="14"/>
      <c r="H14" s="14"/>
      <c r="I14" s="18" t="n">
        <v>2.52</v>
      </c>
      <c r="J14" s="14"/>
      <c r="K14" s="18" t="n">
        <v>2.05</v>
      </c>
      <c r="L14" s="18" t="n">
        <v>2.1</v>
      </c>
      <c r="M14" s="6" t="s">
        <v>107</v>
      </c>
    </row>
    <row r="15" customFormat="false" ht="13.5" hidden="false" customHeight="true" outlineLevel="0" collapsed="false">
      <c r="B15" s="11" t="s">
        <v>89</v>
      </c>
      <c r="C15" s="14"/>
      <c r="D15" s="14"/>
      <c r="E15" s="14"/>
      <c r="F15" s="14"/>
      <c r="G15" s="14"/>
      <c r="H15" s="14"/>
      <c r="I15" s="14"/>
      <c r="J15" s="18" t="n">
        <v>2.15</v>
      </c>
      <c r="K15" s="14"/>
      <c r="L15" s="18" t="n">
        <v>1.98</v>
      </c>
      <c r="M15" s="6" t="s">
        <v>108</v>
      </c>
    </row>
    <row r="16" customFormat="false" ht="13.5" hidden="false" customHeight="true" outlineLevel="0" collapsed="false">
      <c r="B16" s="11" t="s">
        <v>109</v>
      </c>
      <c r="C16" s="14"/>
      <c r="D16" s="14"/>
      <c r="E16" s="14"/>
      <c r="F16" s="14"/>
      <c r="G16" s="14"/>
      <c r="H16" s="14"/>
      <c r="I16" s="14"/>
      <c r="J16" s="14"/>
      <c r="K16" s="14"/>
      <c r="L16" s="18" t="n">
        <v>1.27</v>
      </c>
      <c r="M16" s="6" t="s">
        <v>110</v>
      </c>
    </row>
    <row r="17" customFormat="false" ht="13.5" hidden="false" customHeight="true" outlineLevel="0" collapsed="false">
      <c r="B17" s="11" t="s">
        <v>67</v>
      </c>
      <c r="C17" s="14"/>
      <c r="D17" s="14"/>
      <c r="E17" s="14"/>
      <c r="F17" s="14"/>
      <c r="G17" s="14"/>
      <c r="H17" s="14"/>
      <c r="I17" s="14"/>
      <c r="J17" s="14"/>
      <c r="K17" s="14"/>
      <c r="L17" s="18" t="n">
        <v>0.31</v>
      </c>
      <c r="M17" s="6" t="s">
        <v>111</v>
      </c>
    </row>
    <row r="18" customFormat="false" ht="13.5" hidden="false" customHeight="true" outlineLevel="0" collapsed="false">
      <c r="B18" s="11" t="s">
        <v>91</v>
      </c>
      <c r="C18" s="14"/>
      <c r="D18" s="14"/>
      <c r="E18" s="14"/>
      <c r="F18" s="14"/>
      <c r="G18" s="14"/>
      <c r="H18" s="14"/>
      <c r="I18" s="14"/>
      <c r="J18" s="14"/>
      <c r="K18" s="14"/>
      <c r="L18" s="18" t="n">
        <v>0.39</v>
      </c>
      <c r="M18" s="6" t="s">
        <v>112</v>
      </c>
    </row>
    <row r="19" customFormat="false" ht="15" hidden="false" customHeight="false" outlineLevel="0" collapsed="false">
      <c r="B19" s="9" t="s">
        <v>69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3.5" hidden="false" customHeight="true" outlineLevel="0" collapsed="false">
      <c r="B20" s="11" t="s">
        <v>71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6" t="s">
        <v>113</v>
      </c>
    </row>
    <row r="22" customFormat="false" ht="24" hidden="false" customHeight="true" outlineLevel="0" collapsed="false">
      <c r="B22" s="19" t="s">
        <v>114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customFormat="false" ht="24" hidden="false" customHeight="true" outlineLevel="0" collapsed="false">
      <c r="B23" s="19" t="s">
        <v>115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</sheetData>
  <mergeCells count="2">
    <mergeCell ref="B22:M22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1"/>
    <col collapsed="false" customWidth="true" hidden="false" outlineLevel="0" max="13" min="13" style="0" width="54"/>
  </cols>
  <sheetData>
    <row r="2" customFormat="false" ht="20.1" hidden="false" customHeight="false" outlineLevel="0" collapsed="false">
      <c r="B2" s="1" t="s">
        <v>116</v>
      </c>
    </row>
    <row r="3" customFormat="false" ht="15" hidden="false" customHeight="false" outlineLevel="0" collapsed="false">
      <c r="B3" s="2" t="s">
        <v>117</v>
      </c>
    </row>
    <row r="5" customFormat="false" ht="15" hidden="false" customHeight="false" outlineLevel="0" collapsed="false">
      <c r="B5" s="7" t="s">
        <v>29</v>
      </c>
      <c r="C5" s="8" t="n">
        <v>2016</v>
      </c>
      <c r="D5" s="8" t="n">
        <v>2017</v>
      </c>
      <c r="E5" s="8" t="n">
        <v>2018</v>
      </c>
      <c r="F5" s="8" t="n">
        <v>2019</v>
      </c>
      <c r="G5" s="8" t="n">
        <v>2020</v>
      </c>
      <c r="H5" s="8" t="n">
        <v>2021</v>
      </c>
      <c r="I5" s="8" t="n">
        <v>2022</v>
      </c>
      <c r="J5" s="8" t="n">
        <v>2023</v>
      </c>
      <c r="K5" s="8" t="n">
        <v>2024</v>
      </c>
      <c r="L5" s="8" t="n">
        <v>2025</v>
      </c>
      <c r="M5" s="7" t="s">
        <v>30</v>
      </c>
    </row>
    <row r="6" customFormat="false" ht="15" hidden="false" customHeight="false" outlineLevel="0" collapsed="false">
      <c r="B6" s="9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13.5" hidden="false" customHeight="true" outlineLevel="0" collapsed="false">
      <c r="B7" s="11" t="s">
        <v>32</v>
      </c>
      <c r="C7" s="14"/>
      <c r="D7" s="14"/>
      <c r="E7" s="14"/>
      <c r="F7" s="14"/>
      <c r="G7" s="14"/>
      <c r="H7" s="14"/>
      <c r="I7" s="13" t="n">
        <v>17600</v>
      </c>
      <c r="J7" s="13" t="n">
        <v>18854</v>
      </c>
      <c r="K7" s="13" t="n">
        <v>23800</v>
      </c>
      <c r="L7" s="13" t="n">
        <v>25601</v>
      </c>
      <c r="M7" s="6" t="s">
        <v>118</v>
      </c>
    </row>
    <row r="8" customFormat="false" ht="13.5" hidden="false" customHeight="true" outlineLevel="0" collapsed="false">
      <c r="B8" s="11" t="s">
        <v>34</v>
      </c>
      <c r="C8" s="14"/>
      <c r="D8" s="14"/>
      <c r="E8" s="14"/>
      <c r="F8" s="14"/>
      <c r="G8" s="14"/>
      <c r="H8" s="14"/>
      <c r="I8" s="14"/>
      <c r="J8" s="15" t="n">
        <v>0.1428</v>
      </c>
      <c r="K8" s="15" t="n">
        <v>0.1358</v>
      </c>
      <c r="L8" s="15" t="n">
        <v>0.1287</v>
      </c>
      <c r="M8" s="6" t="s">
        <v>119</v>
      </c>
    </row>
    <row r="9" customFormat="false" ht="15" hidden="false" customHeight="false" outlineLevel="0" collapsed="false">
      <c r="B9" s="9" t="s">
        <v>36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3.5" hidden="false" customHeight="true" outlineLevel="0" collapsed="false">
      <c r="B10" s="11" t="s">
        <v>37</v>
      </c>
      <c r="C10" s="14"/>
      <c r="D10" s="14"/>
      <c r="E10" s="14"/>
      <c r="F10" s="14"/>
      <c r="G10" s="14"/>
      <c r="H10" s="14"/>
      <c r="I10" s="14"/>
      <c r="J10" s="13" t="n">
        <v>44983</v>
      </c>
      <c r="K10" s="14"/>
      <c r="L10" s="13" t="n">
        <v>51475</v>
      </c>
      <c r="M10" s="6" t="s">
        <v>120</v>
      </c>
    </row>
    <row r="11" customFormat="false" ht="13.5" hidden="false" customHeight="true" outlineLevel="0" collapsed="false">
      <c r="B11" s="11" t="s">
        <v>121</v>
      </c>
      <c r="C11" s="14"/>
      <c r="D11" s="14"/>
      <c r="E11" s="14"/>
      <c r="F11" s="14"/>
      <c r="G11" s="14"/>
      <c r="H11" s="14"/>
      <c r="I11" s="14"/>
      <c r="J11" s="14"/>
      <c r="K11" s="13" t="n">
        <v>48800</v>
      </c>
      <c r="L11" s="13" t="n">
        <v>50764</v>
      </c>
      <c r="M11" s="6" t="s">
        <v>122</v>
      </c>
    </row>
    <row r="12" customFormat="false" ht="13.5" hidden="false" customHeight="true" outlineLevel="0" collapsed="false">
      <c r="B12" s="11" t="s">
        <v>81</v>
      </c>
      <c r="C12" s="14"/>
      <c r="D12" s="14"/>
      <c r="E12" s="14"/>
      <c r="F12" s="14"/>
      <c r="G12" s="14"/>
      <c r="H12" s="14"/>
      <c r="I12" s="14"/>
      <c r="J12" s="13" t="n">
        <v>1625</v>
      </c>
      <c r="K12" s="13" t="n">
        <v>1914</v>
      </c>
      <c r="L12" s="13" t="n">
        <v>1171</v>
      </c>
      <c r="M12" s="6" t="s">
        <v>123</v>
      </c>
    </row>
    <row r="13" customFormat="false" ht="15" hidden="false" customHeight="false" outlineLevel="0" collapsed="false">
      <c r="B13" s="9" t="s">
        <v>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B14" s="11" t="s">
        <v>55</v>
      </c>
      <c r="C14" s="14"/>
      <c r="D14" s="14"/>
      <c r="E14" s="14"/>
      <c r="F14" s="14"/>
      <c r="G14" s="14"/>
      <c r="H14" s="14"/>
      <c r="I14" s="15" t="n">
        <v>0.0839</v>
      </c>
      <c r="J14" s="15" t="n">
        <v>0.0852</v>
      </c>
      <c r="K14" s="14"/>
      <c r="L14" s="14"/>
      <c r="M14" s="6"/>
    </row>
    <row r="15" customFormat="false" ht="15" hidden="false" customHeight="false" outlineLevel="0" collapsed="false">
      <c r="B15" s="9" t="s">
        <v>58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customFormat="false" ht="21.75" hidden="false" customHeight="true" outlineLevel="0" collapsed="false">
      <c r="B16" s="11" t="s">
        <v>106</v>
      </c>
      <c r="C16" s="14"/>
      <c r="D16" s="14"/>
      <c r="E16" s="14"/>
      <c r="F16" s="14"/>
      <c r="G16" s="14"/>
      <c r="H16" s="14"/>
      <c r="I16" s="18" t="n">
        <v>2.55</v>
      </c>
      <c r="J16" s="14"/>
      <c r="K16" s="14"/>
      <c r="L16" s="18" t="n">
        <v>1.983</v>
      </c>
      <c r="M16" s="6" t="s">
        <v>124</v>
      </c>
    </row>
    <row r="17" customFormat="false" ht="21.75" hidden="false" customHeight="true" outlineLevel="0" collapsed="false">
      <c r="B17" s="11" t="s">
        <v>89</v>
      </c>
      <c r="C17" s="14"/>
      <c r="D17" s="14"/>
      <c r="E17" s="14"/>
      <c r="F17" s="14"/>
      <c r="G17" s="14"/>
      <c r="H17" s="14"/>
      <c r="I17" s="18" t="n">
        <v>2.34</v>
      </c>
      <c r="J17" s="18" t="n">
        <v>2.1</v>
      </c>
      <c r="K17" s="14"/>
      <c r="L17" s="20" t="n">
        <v>1.85</v>
      </c>
      <c r="M17" s="6" t="s">
        <v>125</v>
      </c>
    </row>
    <row r="18" customFormat="false" ht="13.5" hidden="false" customHeight="true" outlineLevel="0" collapsed="false">
      <c r="B18" s="11" t="s">
        <v>126</v>
      </c>
      <c r="C18" s="14"/>
      <c r="D18" s="14"/>
      <c r="E18" s="14"/>
      <c r="F18" s="14"/>
      <c r="G18" s="14"/>
      <c r="H18" s="14"/>
      <c r="I18" s="14"/>
      <c r="J18" s="18" t="n">
        <v>1.21</v>
      </c>
      <c r="K18" s="14"/>
      <c r="L18" s="14"/>
      <c r="M18" s="6" t="s">
        <v>127</v>
      </c>
    </row>
    <row r="19" customFormat="false" ht="13.5" hidden="false" customHeight="true" outlineLevel="0" collapsed="false">
      <c r="B19" s="11" t="s">
        <v>91</v>
      </c>
      <c r="C19" s="14"/>
      <c r="D19" s="14"/>
      <c r="E19" s="14"/>
      <c r="F19" s="14"/>
      <c r="G19" s="14"/>
      <c r="H19" s="14"/>
      <c r="I19" s="14"/>
      <c r="J19" s="18" t="n">
        <v>0.5</v>
      </c>
      <c r="K19" s="14"/>
      <c r="L19" s="14"/>
      <c r="M19" s="6" t="s">
        <v>128</v>
      </c>
    </row>
    <row r="20" customFormat="false" ht="13.5" hidden="false" customHeight="true" outlineLevel="0" collapsed="false">
      <c r="B20" s="11" t="s">
        <v>67</v>
      </c>
      <c r="C20" s="14"/>
      <c r="D20" s="14"/>
      <c r="E20" s="14"/>
      <c r="F20" s="14"/>
      <c r="G20" s="14"/>
      <c r="H20" s="14"/>
      <c r="I20" s="14"/>
      <c r="J20" s="18" t="n">
        <v>0.37</v>
      </c>
      <c r="K20" s="14"/>
      <c r="L20" s="14"/>
      <c r="M20" s="6" t="s">
        <v>129</v>
      </c>
    </row>
    <row r="21" customFormat="false" ht="13.5" hidden="false" customHeight="true" outlineLevel="0" collapsed="false">
      <c r="B21" s="11" t="s">
        <v>130</v>
      </c>
      <c r="C21" s="14"/>
      <c r="D21" s="14"/>
      <c r="E21" s="14"/>
      <c r="F21" s="14"/>
      <c r="G21" s="14"/>
      <c r="H21" s="14"/>
      <c r="I21" s="14"/>
      <c r="J21" s="14"/>
      <c r="K21" s="14"/>
      <c r="L21" s="21" t="n">
        <f aca="false">L12/L7</f>
        <v>0.0457404007655951</v>
      </c>
      <c r="M21" s="6" t="s">
        <v>131</v>
      </c>
    </row>
    <row r="22" customFormat="false" ht="15" hidden="false" customHeight="false" outlineLevel="0" collapsed="false">
      <c r="B22" s="9" t="s">
        <v>69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3.5" hidden="false" customHeight="true" outlineLevel="0" collapsed="false">
      <c r="B23" s="11" t="s">
        <v>71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6" t="s">
        <v>113</v>
      </c>
    </row>
    <row r="25" customFormat="false" ht="24" hidden="false" customHeight="true" outlineLevel="0" collapsed="false">
      <c r="B25" s="19" t="s">
        <v>132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customFormat="false" ht="13.5" hidden="false" customHeight="true" outlineLevel="0" collapsed="false">
      <c r="B26" s="19" t="s">
        <v>133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</sheetData>
  <mergeCells count="2">
    <mergeCell ref="B25:M25"/>
    <mergeCell ref="B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2" min="3" style="0" width="11"/>
    <col collapsed="false" customWidth="true" hidden="false" outlineLevel="0" max="13" min="13" style="0" width="50"/>
  </cols>
  <sheetData>
    <row r="2" customFormat="false" ht="16.15" hidden="false" customHeight="false" outlineLevel="0" collapsed="false">
      <c r="B2" s="1" t="s">
        <v>134</v>
      </c>
    </row>
    <row r="3" customFormat="false" ht="15" hidden="false" customHeight="false" outlineLevel="0" collapsed="false">
      <c r="B3" s="2" t="s">
        <v>135</v>
      </c>
    </row>
    <row r="5" customFormat="false" ht="15" hidden="false" customHeight="false" outlineLevel="0" collapsed="false">
      <c r="B5" s="7" t="s">
        <v>136</v>
      </c>
      <c r="C5" s="8" t="n">
        <v>2016</v>
      </c>
      <c r="D5" s="8" t="n">
        <v>2017</v>
      </c>
      <c r="E5" s="8" t="n">
        <v>2018</v>
      </c>
      <c r="F5" s="8" t="n">
        <v>2019</v>
      </c>
      <c r="G5" s="8" t="n">
        <v>2020</v>
      </c>
      <c r="H5" s="8" t="n">
        <v>2021</v>
      </c>
      <c r="I5" s="8" t="n">
        <v>2022</v>
      </c>
      <c r="J5" s="8" t="n">
        <v>2023</v>
      </c>
      <c r="K5" s="8" t="n">
        <v>2024</v>
      </c>
      <c r="L5" s="8" t="n">
        <v>2025</v>
      </c>
      <c r="M5" s="7" t="s">
        <v>30</v>
      </c>
    </row>
    <row r="6" customFormat="false" ht="15" hidden="false" customHeight="false" outlineLevel="0" collapsed="false">
      <c r="B6" s="9" t="s">
        <v>32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15" hidden="false" customHeight="false" outlineLevel="0" collapsed="false">
      <c r="B7" s="11" t="s">
        <v>15</v>
      </c>
      <c r="C7" s="22" t="n">
        <f aca="false">IFERROR(IF(ZTO!C7="","",ZTO!C7),"")</f>
        <v>4460</v>
      </c>
      <c r="D7" s="22" t="n">
        <f aca="false">IFERROR(IF(ZTO!D7="","",ZTO!D7),"")</f>
        <v>6219</v>
      </c>
      <c r="E7" s="22" t="n">
        <f aca="false">IFERROR(IF(ZTO!E7="","",ZTO!E7),"")</f>
        <v>8524</v>
      </c>
      <c r="F7" s="22" t="n">
        <f aca="false">IFERROR(IF(ZTO!F7="","",ZTO!F7),"")</f>
        <v>12122</v>
      </c>
      <c r="G7" s="22" t="n">
        <f aca="false">IFERROR(IF(ZTO!G7="","",ZTO!G7),"")</f>
        <v>17010</v>
      </c>
      <c r="H7" s="22" t="n">
        <f aca="false">IFERROR(IF(ZTO!H7="","",ZTO!H7),"")</f>
        <v>22300</v>
      </c>
      <c r="I7" s="22" t="n">
        <f aca="false">IFERROR(IF(ZTO!I7="","",ZTO!I7),"")</f>
        <v>24400</v>
      </c>
      <c r="J7" s="22" t="n">
        <f aca="false">IFERROR(IF(ZTO!J7="","",ZTO!J7),"")</f>
        <v>30202</v>
      </c>
      <c r="K7" s="22" t="n">
        <f aca="false">IFERROR(IF(ZTO!K7="","",ZTO!K7),"")</f>
        <v>34013</v>
      </c>
      <c r="L7" s="22" t="n">
        <f aca="false">IFERROR(IF(ZTO!L7="","",ZTO!L7),"")</f>
        <v>38500</v>
      </c>
      <c r="M7" s="6"/>
    </row>
    <row r="8" customFormat="false" ht="15" hidden="false" customHeight="false" outlineLevel="0" collapsed="false">
      <c r="B8" s="11" t="s">
        <v>17</v>
      </c>
      <c r="C8" s="22" t="str">
        <f aca="false">IFERROR(IF(YTO!C7="","",YTO!C7),"")</f>
        <v/>
      </c>
      <c r="D8" s="22" t="str">
        <f aca="false">IFERROR(IF(YTO!D7="","",YTO!D7),"")</f>
        <v/>
      </c>
      <c r="E8" s="22" t="str">
        <f aca="false">IFERROR(IF(YTO!E7="","",YTO!E7),"")</f>
        <v/>
      </c>
      <c r="F8" s="22" t="str">
        <f aca="false">IFERROR(IF(YTO!F7="","",YTO!F7),"")</f>
        <v/>
      </c>
      <c r="G8" s="22" t="str">
        <f aca="false">IFERROR(IF(YTO!G7="","",YTO!G7),"")</f>
        <v/>
      </c>
      <c r="H8" s="22" t="str">
        <f aca="false">IFERROR(IF(YTO!H7="","",YTO!H7),"")</f>
        <v/>
      </c>
      <c r="I8" s="22" t="n">
        <f aca="false">IFERROR(IF(YTO!I7="","",YTO!I7),"")</f>
        <v>17400</v>
      </c>
      <c r="J8" s="22" t="n">
        <f aca="false">IFERROR(IF(YTO!J7="","",YTO!J7),"")</f>
        <v>21200</v>
      </c>
      <c r="K8" s="22" t="n">
        <f aca="false">IFERROR(IF(YTO!K7="","",YTO!K7),"")</f>
        <v>26573</v>
      </c>
      <c r="L8" s="22" t="n">
        <f aca="false">IFERROR(IF(YTO!L7="","",YTO!L7),"")</f>
        <v>31144</v>
      </c>
      <c r="M8" s="6"/>
    </row>
    <row r="9" customFormat="false" ht="15" hidden="false" customHeight="false" outlineLevel="0" collapsed="false">
      <c r="B9" s="11" t="s">
        <v>19</v>
      </c>
      <c r="C9" s="22" t="str">
        <f aca="false">IFERROR(IF(STO!C7="","",STO!C7),"")</f>
        <v/>
      </c>
      <c r="D9" s="22" t="str">
        <f aca="false">IFERROR(IF(STO!D7="","",STO!D7),"")</f>
        <v/>
      </c>
      <c r="E9" s="22" t="str">
        <f aca="false">IFERROR(IF(STO!E7="","",STO!E7),"")</f>
        <v/>
      </c>
      <c r="F9" s="22" t="str">
        <f aca="false">IFERROR(IF(STO!F7="","",STO!F7),"")</f>
        <v/>
      </c>
      <c r="G9" s="22" t="str">
        <f aca="false">IFERROR(IF(STO!G7="","",STO!G7),"")</f>
        <v/>
      </c>
      <c r="H9" s="22" t="str">
        <f aca="false">IFERROR(IF(STO!H7="","",STO!H7),"")</f>
        <v/>
      </c>
      <c r="I9" s="22" t="n">
        <f aca="false">IFERROR(IF(STO!I7="","",STO!I7),"")</f>
        <v>12900</v>
      </c>
      <c r="J9" s="22" t="str">
        <f aca="false">IFERROR(IF(STO!J7="","",STO!J7),"")</f>
        <v/>
      </c>
      <c r="K9" s="22" t="n">
        <f aca="false">IFERROR(IF(STO!K7="","",STO!K7),"")</f>
        <v>22700</v>
      </c>
      <c r="L9" s="22" t="n">
        <f aca="false">IFERROR(IF(STO!L7="","",STO!L7),"")</f>
        <v>26139</v>
      </c>
      <c r="M9" s="6"/>
    </row>
    <row r="10" customFormat="false" ht="15" hidden="false" customHeight="false" outlineLevel="0" collapsed="false">
      <c r="B10" s="11" t="s">
        <v>21</v>
      </c>
      <c r="C10" s="22" t="str">
        <f aca="false">IFERROR(IF(Yunda!C7="","",Yunda!C7),"")</f>
        <v/>
      </c>
      <c r="D10" s="22" t="str">
        <f aca="false">IFERROR(IF(Yunda!D7="","",Yunda!D7),"")</f>
        <v/>
      </c>
      <c r="E10" s="22" t="str">
        <f aca="false">IFERROR(IF(Yunda!E7="","",Yunda!E7),"")</f>
        <v/>
      </c>
      <c r="F10" s="22" t="str">
        <f aca="false">IFERROR(IF(Yunda!F7="","",Yunda!F7),"")</f>
        <v/>
      </c>
      <c r="G10" s="22" t="str">
        <f aca="false">IFERROR(IF(Yunda!G7="","",Yunda!G7),"")</f>
        <v/>
      </c>
      <c r="H10" s="22" t="str">
        <f aca="false">IFERROR(IF(Yunda!H7="","",Yunda!H7),"")</f>
        <v/>
      </c>
      <c r="I10" s="22" t="n">
        <f aca="false">IFERROR(IF(Yunda!I7="","",Yunda!I7),"")</f>
        <v>17600</v>
      </c>
      <c r="J10" s="22" t="n">
        <f aca="false">IFERROR(IF(Yunda!J7="","",Yunda!J7),"")</f>
        <v>18854</v>
      </c>
      <c r="K10" s="22" t="n">
        <f aca="false">IFERROR(IF(Yunda!K7="","",Yunda!K7),"")</f>
        <v>23800</v>
      </c>
      <c r="L10" s="22" t="n">
        <f aca="false">IFERROR(IF(Yunda!L7="","",Yunda!L7),"")</f>
        <v>25601</v>
      </c>
      <c r="M10" s="6"/>
    </row>
    <row r="11" customFormat="false" ht="15" hidden="false" customHeight="false" outlineLevel="0" collapsed="false">
      <c r="B11" s="9" t="s">
        <v>137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Format="false" ht="15" hidden="false" customHeight="false" outlineLevel="0" collapsed="false">
      <c r="B12" s="11" t="s">
        <v>138</v>
      </c>
      <c r="C12" s="23" t="str">
        <f aca="false">IFERROR(IF(ZTO!C29="","",ZTO!C29),"")</f>
        <v/>
      </c>
      <c r="D12" s="23" t="str">
        <f aca="false">IFERROR(IF(ZTO!D29="","",ZTO!D29),"")</f>
        <v/>
      </c>
      <c r="E12" s="23" t="str">
        <f aca="false">IFERROR(IF(ZTO!E29="","",ZTO!E29),"")</f>
        <v/>
      </c>
      <c r="F12" s="23" t="str">
        <f aca="false">IFERROR(IF(ZTO!F29="","",ZTO!F29),"")</f>
        <v/>
      </c>
      <c r="G12" s="23" t="str">
        <f aca="false">IFERROR(IF(ZTO!G29="","",ZTO!G29),"")</f>
        <v/>
      </c>
      <c r="H12" s="23" t="str">
        <f aca="false">IFERROR(IF(ZTO!H29="","",ZTO!H29),"")</f>
        <v/>
      </c>
      <c r="I12" s="23" t="n">
        <f aca="false">IFERROR(IF(ZTO!I29="","",ZTO!I29),"")</f>
        <v>1.34</v>
      </c>
      <c r="J12" s="23" t="n">
        <f aca="false">IFERROR(IF(ZTO!J29="","",ZTO!J29),"")</f>
        <v>1.24</v>
      </c>
      <c r="K12" s="23" t="str">
        <f aca="false">IFERROR(IF(ZTO!K29="","",ZTO!K29),"")</f>
        <v/>
      </c>
      <c r="L12" s="23" t="str">
        <f aca="false">IFERROR(IF(ZTO!L29="","",ZTO!L29),"")</f>
        <v/>
      </c>
      <c r="M12" s="6" t="s">
        <v>139</v>
      </c>
    </row>
    <row r="13" customFormat="false" ht="15" hidden="false" customHeight="false" outlineLevel="0" collapsed="false">
      <c r="B13" s="11" t="s">
        <v>140</v>
      </c>
      <c r="C13" s="17" t="str">
        <f aca="false">IFERROR(IF(C12="","",C12+1.25),"")</f>
        <v/>
      </c>
      <c r="D13" s="17" t="str">
        <f aca="false">IFERROR(IF(D12="","",D12+1.25),"")</f>
        <v/>
      </c>
      <c r="E13" s="17" t="str">
        <f aca="false">IFERROR(IF(E12="","",E12+1.25),"")</f>
        <v/>
      </c>
      <c r="F13" s="17" t="str">
        <f aca="false">IFERROR(IF(F12="","",F12+1.25),"")</f>
        <v/>
      </c>
      <c r="G13" s="17" t="str">
        <f aca="false">IFERROR(IF(G12="","",G12+1.25),"")</f>
        <v/>
      </c>
      <c r="H13" s="17" t="str">
        <f aca="false">IFERROR(IF(H12="","",H12+1.25),"")</f>
        <v/>
      </c>
      <c r="I13" s="17" t="n">
        <f aca="false">IFERROR(IF(I12="","",I12+1.25),"")</f>
        <v>2.59</v>
      </c>
      <c r="J13" s="17" t="n">
        <f aca="false">IFERROR(IF(J12="","",J12+1.25),"")</f>
        <v>2.49</v>
      </c>
      <c r="K13" s="17" t="str">
        <f aca="false">IFERROR(IF(K12="","",K12+1.25),"")</f>
        <v/>
      </c>
      <c r="L13" s="17" t="str">
        <f aca="false">IFERROR(IF(L12="","",L12+1.25),"")</f>
        <v/>
      </c>
      <c r="M13" s="6" t="s">
        <v>141</v>
      </c>
    </row>
    <row r="14" customFormat="false" ht="15" hidden="false" customHeight="false" outlineLevel="0" collapsed="false">
      <c r="B14" s="11" t="s">
        <v>17</v>
      </c>
      <c r="C14" s="23" t="str">
        <f aca="false">IFERROR(IF(YTO!C17="","",YTO!C17),"")</f>
        <v/>
      </c>
      <c r="D14" s="23" t="str">
        <f aca="false">IFERROR(IF(YTO!D17="","",YTO!D17),"")</f>
        <v/>
      </c>
      <c r="E14" s="23" t="str">
        <f aca="false">IFERROR(IF(YTO!E17="","",YTO!E17),"")</f>
        <v/>
      </c>
      <c r="F14" s="23" t="str">
        <f aca="false">IFERROR(IF(YTO!F17="","",YTO!F17),"")</f>
        <v/>
      </c>
      <c r="G14" s="23" t="str">
        <f aca="false">IFERROR(IF(YTO!G17="","",YTO!G17),"")</f>
        <v/>
      </c>
      <c r="H14" s="23" t="str">
        <f aca="false">IFERROR(IF(YTO!H17="","",YTO!H17),"")</f>
        <v/>
      </c>
      <c r="I14" s="23" t="n">
        <f aca="false">IFERROR(IF(YTO!I17="","",YTO!I17),"")</f>
        <v>2.59</v>
      </c>
      <c r="J14" s="23" t="n">
        <f aca="false">IFERROR(IF(YTO!J17="","",YTO!J17),"")</f>
        <v>2.41</v>
      </c>
      <c r="K14" s="23" t="str">
        <f aca="false">IFERROR(IF(YTO!K17="","",YTO!K17),"")</f>
        <v/>
      </c>
      <c r="L14" s="23" t="n">
        <f aca="false">IFERROR(IF(YTO!L17="","",YTO!L17),"")</f>
        <v>2.19</v>
      </c>
      <c r="M14" s="6"/>
    </row>
    <row r="15" customFormat="false" ht="15" hidden="false" customHeight="false" outlineLevel="0" collapsed="false">
      <c r="B15" s="11" t="s">
        <v>19</v>
      </c>
      <c r="C15" s="23" t="str">
        <f aca="false">IFERROR(IF(STO!C14="","",STO!C14),"")</f>
        <v/>
      </c>
      <c r="D15" s="23" t="str">
        <f aca="false">IFERROR(IF(STO!D14="","",STO!D14),"")</f>
        <v/>
      </c>
      <c r="E15" s="23" t="str">
        <f aca="false">IFERROR(IF(STO!E14="","",STO!E14),"")</f>
        <v/>
      </c>
      <c r="F15" s="23" t="str">
        <f aca="false">IFERROR(IF(STO!F14="","",STO!F14),"")</f>
        <v/>
      </c>
      <c r="G15" s="23" t="str">
        <f aca="false">IFERROR(IF(STO!G14="","",STO!G14),"")</f>
        <v/>
      </c>
      <c r="H15" s="23" t="str">
        <f aca="false">IFERROR(IF(STO!H14="","",STO!H14),"")</f>
        <v/>
      </c>
      <c r="I15" s="23" t="n">
        <f aca="false">IFERROR(IF(STO!I14="","",STO!I14),"")</f>
        <v>2.52</v>
      </c>
      <c r="J15" s="23" t="str">
        <f aca="false">IFERROR(IF(STO!J14="","",STO!J14),"")</f>
        <v/>
      </c>
      <c r="K15" s="23" t="n">
        <f aca="false">IFERROR(IF(STO!K14="","",STO!K14),"")</f>
        <v>2.05</v>
      </c>
      <c r="L15" s="23" t="n">
        <f aca="false">IFERROR(IF(STO!L14="","",STO!L14),"")</f>
        <v>2.1</v>
      </c>
      <c r="M15" s="6"/>
    </row>
    <row r="16" customFormat="false" ht="15" hidden="false" customHeight="false" outlineLevel="0" collapsed="false">
      <c r="B16" s="11" t="s">
        <v>21</v>
      </c>
      <c r="C16" s="23" t="str">
        <f aca="false">IFERROR(IF(Yunda!C16="","",Yunda!C16),"")</f>
        <v/>
      </c>
      <c r="D16" s="23" t="str">
        <f aca="false">IFERROR(IF(Yunda!D16="","",Yunda!D16),"")</f>
        <v/>
      </c>
      <c r="E16" s="23" t="str">
        <f aca="false">IFERROR(IF(Yunda!E16="","",Yunda!E16),"")</f>
        <v/>
      </c>
      <c r="F16" s="23" t="str">
        <f aca="false">IFERROR(IF(Yunda!F16="","",Yunda!F16),"")</f>
        <v/>
      </c>
      <c r="G16" s="23" t="str">
        <f aca="false">IFERROR(IF(Yunda!G16="","",Yunda!G16),"")</f>
        <v/>
      </c>
      <c r="H16" s="23" t="str">
        <f aca="false">IFERROR(IF(Yunda!H16="","",Yunda!H16),"")</f>
        <v/>
      </c>
      <c r="I16" s="23" t="n">
        <f aca="false">IFERROR(IF(Yunda!I16="","",Yunda!I16),"")</f>
        <v>2.55</v>
      </c>
      <c r="J16" s="23" t="str">
        <f aca="false">IFERROR(IF(Yunda!J16="","",Yunda!J16),"")</f>
        <v/>
      </c>
      <c r="K16" s="23" t="str">
        <f aca="false">IFERROR(IF(Yunda!K16="","",Yunda!K16),"")</f>
        <v/>
      </c>
      <c r="L16" s="23" t="n">
        <f aca="false">IFERROR(IF(Yunda!L16="","",Yunda!L16),"")</f>
        <v>1.983</v>
      </c>
      <c r="M16" s="6"/>
    </row>
    <row r="17" customFormat="false" ht="15" hidden="false" customHeight="false" outlineLevel="0" collapsed="false">
      <c r="B17" s="9" t="s">
        <v>142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false" outlineLevel="0" collapsed="false">
      <c r="B18" s="11" t="s">
        <v>143</v>
      </c>
      <c r="C18" s="23" t="str">
        <f aca="false">IFERROR(IF(ZTO!C30="","",ZTO!C30),"")</f>
        <v/>
      </c>
      <c r="D18" s="23" t="str">
        <f aca="false">IFERROR(IF(ZTO!D30="","",ZTO!D30),"")</f>
        <v/>
      </c>
      <c r="E18" s="23" t="str">
        <f aca="false">IFERROR(IF(ZTO!E30="","",ZTO!E30),"")</f>
        <v/>
      </c>
      <c r="F18" s="23" t="str">
        <f aca="false">IFERROR(IF(ZTO!F30="","",ZTO!F30),"")</f>
        <v/>
      </c>
      <c r="G18" s="23" t="str">
        <f aca="false">IFERROR(IF(ZTO!G30="","",ZTO!G30),"")</f>
        <v/>
      </c>
      <c r="H18" s="23" t="str">
        <f aca="false">IFERROR(IF(ZTO!H30="","",ZTO!H30),"")</f>
        <v/>
      </c>
      <c r="I18" s="23" t="str">
        <f aca="false">IFERROR(IF(ZTO!I30="","",ZTO!I30),"")</f>
        <v/>
      </c>
      <c r="J18" s="23" t="n">
        <f aca="false">IFERROR(IF(ZTO!J30="","",ZTO!J30),"")</f>
        <v>0.86</v>
      </c>
      <c r="K18" s="23" t="str">
        <f aca="false">IFERROR(IF(ZTO!K30="","",ZTO!K30),"")</f>
        <v/>
      </c>
      <c r="L18" s="23" t="n">
        <f aca="false">IFERROR(IF(ZTO!L30="","",ZTO!L30),"")</f>
        <v>0.94</v>
      </c>
      <c r="M18" s="6" t="s">
        <v>64</v>
      </c>
    </row>
    <row r="19" customFormat="false" ht="15" hidden="false" customHeight="false" outlineLevel="0" collapsed="false">
      <c r="B19" s="11" t="s">
        <v>140</v>
      </c>
      <c r="C19" s="17" t="str">
        <f aca="false">IFERROR(IF(C18="","",C18+1.25),"")</f>
        <v/>
      </c>
      <c r="D19" s="17" t="str">
        <f aca="false">IFERROR(IF(D18="","",D18+1.25),"")</f>
        <v/>
      </c>
      <c r="E19" s="17" t="str">
        <f aca="false">IFERROR(IF(E18="","",E18+1.25),"")</f>
        <v/>
      </c>
      <c r="F19" s="17" t="str">
        <f aca="false">IFERROR(IF(F18="","",F18+1.25),"")</f>
        <v/>
      </c>
      <c r="G19" s="17" t="str">
        <f aca="false">IFERROR(IF(G18="","",G18+1.25),"")</f>
        <v/>
      </c>
      <c r="H19" s="17" t="str">
        <f aca="false">IFERROR(IF(H18="","",H18+1.25),"")</f>
        <v/>
      </c>
      <c r="I19" s="17" t="str">
        <f aca="false">IFERROR(IF(I18="","",I18+1.25),"")</f>
        <v/>
      </c>
      <c r="J19" s="17" t="n">
        <f aca="false">IFERROR(IF(J18="","",J18+1.25),"")</f>
        <v>2.11</v>
      </c>
      <c r="K19" s="17" t="str">
        <f aca="false">IFERROR(IF(K18="","",K18+1.25),"")</f>
        <v/>
      </c>
      <c r="L19" s="17" t="n">
        <f aca="false">IFERROR(IF(L18="","",L18+1.25),"")</f>
        <v>2.19</v>
      </c>
      <c r="M19" s="6"/>
    </row>
    <row r="20" customFormat="false" ht="15" hidden="false" customHeight="false" outlineLevel="0" collapsed="false">
      <c r="B20" s="11" t="s">
        <v>17</v>
      </c>
      <c r="C20" s="23" t="str">
        <f aca="false">IFERROR(IF(YTO!C18="","",YTO!C18),"")</f>
        <v/>
      </c>
      <c r="D20" s="23" t="str">
        <f aca="false">IFERROR(IF(YTO!D18="","",YTO!D18),"")</f>
        <v/>
      </c>
      <c r="E20" s="23" t="str">
        <f aca="false">IFERROR(IF(YTO!E18="","",YTO!E18),"")</f>
        <v/>
      </c>
      <c r="F20" s="23" t="str">
        <f aca="false">IFERROR(IF(YTO!F18="","",YTO!F18),"")</f>
        <v/>
      </c>
      <c r="G20" s="23" t="str">
        <f aca="false">IFERROR(IF(YTO!G18="","",YTO!G18),"")</f>
        <v/>
      </c>
      <c r="H20" s="23" t="str">
        <f aca="false">IFERROR(IF(YTO!H18="","",YTO!H18),"")</f>
        <v/>
      </c>
      <c r="I20" s="23" t="str">
        <f aca="false">IFERROR(IF(YTO!I18="","",YTO!I18),"")</f>
        <v/>
      </c>
      <c r="J20" s="23" t="n">
        <f aca="false">IFERROR(IF(YTO!J18="","",YTO!J18),"")</f>
        <v>2.18</v>
      </c>
      <c r="K20" s="23" t="str">
        <f aca="false">IFERROR(IF(YTO!K18="","",YTO!K18),"")</f>
        <v/>
      </c>
      <c r="L20" s="23" t="n">
        <f aca="false">IFERROR(IF(YTO!L18="","",YTO!L18),"")</f>
        <v>2</v>
      </c>
      <c r="M20" s="6"/>
    </row>
    <row r="21" customFormat="false" ht="15" hidden="false" customHeight="false" outlineLevel="0" collapsed="false">
      <c r="B21" s="11" t="s">
        <v>19</v>
      </c>
      <c r="C21" s="23" t="str">
        <f aca="false">IFERROR(IF(STO!C15="","",STO!C15),"")</f>
        <v/>
      </c>
      <c r="D21" s="23" t="str">
        <f aca="false">IFERROR(IF(STO!D15="","",STO!D15),"")</f>
        <v/>
      </c>
      <c r="E21" s="23" t="str">
        <f aca="false">IFERROR(IF(STO!E15="","",STO!E15),"")</f>
        <v/>
      </c>
      <c r="F21" s="23" t="str">
        <f aca="false">IFERROR(IF(STO!F15="","",STO!F15),"")</f>
        <v/>
      </c>
      <c r="G21" s="23" t="str">
        <f aca="false">IFERROR(IF(STO!G15="","",STO!G15),"")</f>
        <v/>
      </c>
      <c r="H21" s="23" t="str">
        <f aca="false">IFERROR(IF(STO!H15="","",STO!H15),"")</f>
        <v/>
      </c>
      <c r="I21" s="23" t="str">
        <f aca="false">IFERROR(IF(STO!I15="","",STO!I15),"")</f>
        <v/>
      </c>
      <c r="J21" s="23" t="n">
        <f aca="false">IFERROR(IF(STO!J15="","",STO!J15),"")</f>
        <v>2.15</v>
      </c>
      <c r="K21" s="23" t="str">
        <f aca="false">IFERROR(IF(STO!K15="","",STO!K15),"")</f>
        <v/>
      </c>
      <c r="L21" s="23" t="n">
        <f aca="false">IFERROR(IF(STO!L15="","",STO!L15),"")</f>
        <v>1.98</v>
      </c>
      <c r="M21" s="6"/>
    </row>
    <row r="22" customFormat="false" ht="15" hidden="false" customHeight="false" outlineLevel="0" collapsed="false">
      <c r="B22" s="11" t="s">
        <v>21</v>
      </c>
      <c r="C22" s="23" t="str">
        <f aca="false">IFERROR(IF(Yunda!C17="","",Yunda!C17),"")</f>
        <v/>
      </c>
      <c r="D22" s="23" t="str">
        <f aca="false">IFERROR(IF(Yunda!D17="","",Yunda!D17),"")</f>
        <v/>
      </c>
      <c r="E22" s="23" t="str">
        <f aca="false">IFERROR(IF(Yunda!E17="","",Yunda!E17),"")</f>
        <v/>
      </c>
      <c r="F22" s="23" t="str">
        <f aca="false">IFERROR(IF(Yunda!F17="","",Yunda!F17),"")</f>
        <v/>
      </c>
      <c r="G22" s="23" t="str">
        <f aca="false">IFERROR(IF(Yunda!G17="","",Yunda!G17),"")</f>
        <v/>
      </c>
      <c r="H22" s="23" t="str">
        <f aca="false">IFERROR(IF(Yunda!H17="","",Yunda!H17),"")</f>
        <v/>
      </c>
      <c r="I22" s="23" t="n">
        <f aca="false">IFERROR(IF(Yunda!I17="","",Yunda!I17),"")</f>
        <v>2.34</v>
      </c>
      <c r="J22" s="23" t="n">
        <f aca="false">IFERROR(IF(Yunda!J17="","",Yunda!J17),"")</f>
        <v>2.1</v>
      </c>
      <c r="K22" s="23" t="str">
        <f aca="false">IFERROR(IF(Yunda!K17="","",Yunda!K17),"")</f>
        <v/>
      </c>
      <c r="L22" s="23" t="n">
        <f aca="false">IFERROR(IF(Yunda!L17="","",Yunda!L17),"")</f>
        <v>1.85</v>
      </c>
      <c r="M22" s="6"/>
    </row>
    <row r="23" customFormat="false" ht="15" hidden="false" customHeight="false" outlineLevel="0" collapsed="false">
      <c r="B23" s="9" t="s">
        <v>144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15" hidden="false" customHeight="false" outlineLevel="0" collapsed="false">
      <c r="B24" s="11" t="s">
        <v>145</v>
      </c>
      <c r="C24" s="23" t="str">
        <f aca="false">IFERROR(IF(ZTO!C31="","",ZTO!C31),"")</f>
        <v/>
      </c>
      <c r="D24" s="23" t="str">
        <f aca="false">IFERROR(IF(ZTO!D31="","",ZTO!D31),"")</f>
        <v/>
      </c>
      <c r="E24" s="23" t="str">
        <f aca="false">IFERROR(IF(ZTO!E31="","",ZTO!E31),"")</f>
        <v/>
      </c>
      <c r="F24" s="23" t="str">
        <f aca="false">IFERROR(IF(ZTO!F31="","",ZTO!F31),"")</f>
        <v/>
      </c>
      <c r="G24" s="23" t="str">
        <f aca="false">IFERROR(IF(ZTO!G31="","",ZTO!G31),"")</f>
        <v/>
      </c>
      <c r="H24" s="23" t="str">
        <f aca="false">IFERROR(IF(ZTO!H31="","",ZTO!H31),"")</f>
        <v/>
      </c>
      <c r="I24" s="23" t="str">
        <f aca="false">IFERROR(IF(ZTO!I31="","",ZTO!I31),"")</f>
        <v/>
      </c>
      <c r="J24" s="23" t="str">
        <f aca="false">IFERROR(IF(ZTO!J31="","",ZTO!J31),"")</f>
        <v/>
      </c>
      <c r="K24" s="23" t="str">
        <f aca="false">IFERROR(IF(ZTO!K31="","",ZTO!K31),"")</f>
        <v/>
      </c>
      <c r="L24" s="23" t="n">
        <f aca="false">IFERROR(IF(ZTO!L31="","",ZTO!L31),"")</f>
        <v>0.36</v>
      </c>
      <c r="M24" s="6"/>
    </row>
    <row r="25" customFormat="false" ht="15" hidden="false" customHeight="false" outlineLevel="0" collapsed="false">
      <c r="B25" s="11" t="s">
        <v>146</v>
      </c>
      <c r="C25" s="23" t="str">
        <f aca="false">IFERROR(IF(YTO!C19="","",YTO!C19),"")</f>
        <v/>
      </c>
      <c r="D25" s="23" t="str">
        <f aca="false">IFERROR(IF(YTO!D19="","",YTO!D19),"")</f>
        <v/>
      </c>
      <c r="E25" s="23" t="str">
        <f aca="false">IFERROR(IF(YTO!E19="","",YTO!E19),"")</f>
        <v/>
      </c>
      <c r="F25" s="23" t="str">
        <f aca="false">IFERROR(IF(YTO!F19="","",YTO!F19),"")</f>
        <v/>
      </c>
      <c r="G25" s="23" t="str">
        <f aca="false">IFERROR(IF(YTO!G19="","",YTO!G19),"")</f>
        <v/>
      </c>
      <c r="H25" s="23" t="str">
        <f aca="false">IFERROR(IF(YTO!H19="","",YTO!H19),"")</f>
        <v/>
      </c>
      <c r="I25" s="23" t="str">
        <f aca="false">IFERROR(IF(YTO!I19="","",YTO!I19),"")</f>
        <v/>
      </c>
      <c r="J25" s="23" t="str">
        <f aca="false">IFERROR(IF(YTO!J19="","",YTO!J19),"")</f>
        <v/>
      </c>
      <c r="K25" s="23" t="str">
        <f aca="false">IFERROR(IF(YTO!K19="","",YTO!K19),"")</f>
        <v/>
      </c>
      <c r="L25" s="23" t="n">
        <f aca="false">IFERROR(IF(YTO!L19="","",YTO!L19),"")</f>
        <v>0.37</v>
      </c>
      <c r="M25" s="6"/>
    </row>
    <row r="26" customFormat="false" ht="15" hidden="false" customHeight="false" outlineLevel="0" collapsed="false">
      <c r="B26" s="11" t="s">
        <v>147</v>
      </c>
      <c r="C26" s="23" t="str">
        <f aca="false">IFERROR(IF(STO!C18="","",STO!C18),"")</f>
        <v/>
      </c>
      <c r="D26" s="23" t="str">
        <f aca="false">IFERROR(IF(STO!D18="","",STO!D18),"")</f>
        <v/>
      </c>
      <c r="E26" s="23" t="str">
        <f aca="false">IFERROR(IF(STO!E18="","",STO!E18),"")</f>
        <v/>
      </c>
      <c r="F26" s="23" t="str">
        <f aca="false">IFERROR(IF(STO!F18="","",STO!F18),"")</f>
        <v/>
      </c>
      <c r="G26" s="23" t="str">
        <f aca="false">IFERROR(IF(STO!G18="","",STO!G18),"")</f>
        <v/>
      </c>
      <c r="H26" s="23" t="str">
        <f aca="false">IFERROR(IF(STO!H18="","",STO!H18),"")</f>
        <v/>
      </c>
      <c r="I26" s="23" t="str">
        <f aca="false">IFERROR(IF(STO!I18="","",STO!I18),"")</f>
        <v/>
      </c>
      <c r="J26" s="23" t="str">
        <f aca="false">IFERROR(IF(STO!J18="","",STO!J18),"")</f>
        <v/>
      </c>
      <c r="K26" s="23" t="str">
        <f aca="false">IFERROR(IF(STO!K18="","",STO!K18),"")</f>
        <v/>
      </c>
      <c r="L26" s="23" t="n">
        <f aca="false">IFERROR(IF(STO!L18="","",STO!L18),"")</f>
        <v>0.39</v>
      </c>
      <c r="M26" s="6"/>
    </row>
    <row r="27" customFormat="false" ht="15" hidden="false" customHeight="false" outlineLevel="0" collapsed="false">
      <c r="B27" s="11" t="s">
        <v>148</v>
      </c>
      <c r="C27" s="23" t="str">
        <f aca="false">IFERROR(IF(Yunda!C19="","",Yunda!C19),"")</f>
        <v/>
      </c>
      <c r="D27" s="23" t="str">
        <f aca="false">IFERROR(IF(Yunda!D19="","",Yunda!D19),"")</f>
        <v/>
      </c>
      <c r="E27" s="23" t="str">
        <f aca="false">IFERROR(IF(Yunda!E19="","",Yunda!E19),"")</f>
        <v/>
      </c>
      <c r="F27" s="23" t="str">
        <f aca="false">IFERROR(IF(Yunda!F19="","",Yunda!F19),"")</f>
        <v/>
      </c>
      <c r="G27" s="23" t="str">
        <f aca="false">IFERROR(IF(Yunda!G19="","",Yunda!G19),"")</f>
        <v/>
      </c>
      <c r="H27" s="23" t="str">
        <f aca="false">IFERROR(IF(Yunda!H19="","",Yunda!H19),"")</f>
        <v/>
      </c>
      <c r="I27" s="23" t="str">
        <f aca="false">IFERROR(IF(Yunda!I19="","",Yunda!I19),"")</f>
        <v/>
      </c>
      <c r="J27" s="23" t="n">
        <f aca="false">IFERROR(IF(Yunda!J19="","",Yunda!J19),"")</f>
        <v>0.5</v>
      </c>
      <c r="K27" s="23" t="str">
        <f aca="false">IFERROR(IF(Yunda!K19="","",Yunda!K19),"")</f>
        <v/>
      </c>
      <c r="L27" s="23" t="str">
        <f aca="false">IFERROR(IF(Yunda!L19="","",Yunda!L19),"")</f>
        <v/>
      </c>
      <c r="M27" s="6"/>
    </row>
    <row r="28" customFormat="false" ht="15" hidden="false" customHeight="false" outlineLevel="0" collapsed="false">
      <c r="B28" s="11" t="s">
        <v>149</v>
      </c>
      <c r="C28" s="23" t="str">
        <f aca="false">IFERROR(IF(ZTO!C32="","",ZTO!C32),"")</f>
        <v/>
      </c>
      <c r="D28" s="23" t="str">
        <f aca="false">IFERROR(IF(ZTO!D32="","",ZTO!D32),"")</f>
        <v/>
      </c>
      <c r="E28" s="23" t="str">
        <f aca="false">IFERROR(IF(ZTO!E32="","",ZTO!E32),"")</f>
        <v/>
      </c>
      <c r="F28" s="23" t="str">
        <f aca="false">IFERROR(IF(ZTO!F32="","",ZTO!F32),"")</f>
        <v/>
      </c>
      <c r="G28" s="23" t="str">
        <f aca="false">IFERROR(IF(ZTO!G32="","",ZTO!G32),"")</f>
        <v/>
      </c>
      <c r="H28" s="23" t="str">
        <f aca="false">IFERROR(IF(ZTO!H32="","",ZTO!H32),"")</f>
        <v/>
      </c>
      <c r="I28" s="23" t="str">
        <f aca="false">IFERROR(IF(ZTO!I32="","",ZTO!I32),"")</f>
        <v/>
      </c>
      <c r="J28" s="23" t="str">
        <f aca="false">IFERROR(IF(ZTO!J32="","",ZTO!J32),"")</f>
        <v/>
      </c>
      <c r="K28" s="23" t="str">
        <f aca="false">IFERROR(IF(ZTO!K32="","",ZTO!K32),"")</f>
        <v/>
      </c>
      <c r="L28" s="23" t="n">
        <f aca="false">IFERROR(IF(ZTO!L32="","",ZTO!L32),"")</f>
        <v>0.26</v>
      </c>
      <c r="M28" s="6"/>
    </row>
    <row r="29" customFormat="false" ht="15" hidden="false" customHeight="false" outlineLevel="0" collapsed="false">
      <c r="B29" s="11" t="s">
        <v>150</v>
      </c>
      <c r="C29" s="23" t="str">
        <f aca="false">IFERROR(IF(YTO!C20="","",YTO!C20),"")</f>
        <v/>
      </c>
      <c r="D29" s="23" t="str">
        <f aca="false">IFERROR(IF(YTO!D20="","",YTO!D20),"")</f>
        <v/>
      </c>
      <c r="E29" s="23" t="str">
        <f aca="false">IFERROR(IF(YTO!E20="","",YTO!E20),"")</f>
        <v/>
      </c>
      <c r="F29" s="23" t="str">
        <f aca="false">IFERROR(IF(YTO!F20="","",YTO!F20),"")</f>
        <v/>
      </c>
      <c r="G29" s="23" t="str">
        <f aca="false">IFERROR(IF(YTO!G20="","",YTO!G20),"")</f>
        <v/>
      </c>
      <c r="H29" s="23" t="str">
        <f aca="false">IFERROR(IF(YTO!H20="","",YTO!H20),"")</f>
        <v/>
      </c>
      <c r="I29" s="23" t="str">
        <f aca="false">IFERROR(IF(YTO!I20="","",YTO!I20),"")</f>
        <v/>
      </c>
      <c r="J29" s="23" t="str">
        <f aca="false">IFERROR(IF(YTO!J20="","",YTO!J20),"")</f>
        <v/>
      </c>
      <c r="K29" s="23" t="str">
        <f aca="false">IFERROR(IF(YTO!K20="","",YTO!K20),"")</f>
        <v/>
      </c>
      <c r="L29" s="23" t="n">
        <f aca="false">IFERROR(IF(YTO!L20="","",YTO!L20),"")</f>
        <v>0.27</v>
      </c>
      <c r="M29" s="6"/>
    </row>
    <row r="30" customFormat="false" ht="15" hidden="false" customHeight="false" outlineLevel="0" collapsed="false">
      <c r="B30" s="11" t="s">
        <v>151</v>
      </c>
      <c r="C30" s="23" t="str">
        <f aca="false">IFERROR(IF(STO!C17="","",STO!C17),"")</f>
        <v/>
      </c>
      <c r="D30" s="23" t="str">
        <f aca="false">IFERROR(IF(STO!D17="","",STO!D17),"")</f>
        <v/>
      </c>
      <c r="E30" s="23" t="str">
        <f aca="false">IFERROR(IF(STO!E17="","",STO!E17),"")</f>
        <v/>
      </c>
      <c r="F30" s="23" t="str">
        <f aca="false">IFERROR(IF(STO!F17="","",STO!F17),"")</f>
        <v/>
      </c>
      <c r="G30" s="23" t="str">
        <f aca="false">IFERROR(IF(STO!G17="","",STO!G17),"")</f>
        <v/>
      </c>
      <c r="H30" s="23" t="str">
        <f aca="false">IFERROR(IF(STO!H17="","",STO!H17),"")</f>
        <v/>
      </c>
      <c r="I30" s="23" t="str">
        <f aca="false">IFERROR(IF(STO!I17="","",STO!I17),"")</f>
        <v/>
      </c>
      <c r="J30" s="23" t="str">
        <f aca="false">IFERROR(IF(STO!J17="","",STO!J17),"")</f>
        <v/>
      </c>
      <c r="K30" s="23" t="str">
        <f aca="false">IFERROR(IF(STO!K17="","",STO!K17),"")</f>
        <v/>
      </c>
      <c r="L30" s="23" t="n">
        <f aca="false">IFERROR(IF(STO!L17="","",STO!L17),"")</f>
        <v>0.31</v>
      </c>
      <c r="M30" s="6"/>
    </row>
    <row r="31" customFormat="false" ht="15" hidden="false" customHeight="false" outlineLevel="0" collapsed="false">
      <c r="B31" s="11" t="s">
        <v>152</v>
      </c>
      <c r="C31" s="23" t="str">
        <f aca="false">IFERROR(IF(Yunda!C20="","",Yunda!C20),"")</f>
        <v/>
      </c>
      <c r="D31" s="23" t="str">
        <f aca="false">IFERROR(IF(Yunda!D20="","",Yunda!D20),"")</f>
        <v/>
      </c>
      <c r="E31" s="23" t="str">
        <f aca="false">IFERROR(IF(Yunda!E20="","",Yunda!E20),"")</f>
        <v/>
      </c>
      <c r="F31" s="23" t="str">
        <f aca="false">IFERROR(IF(Yunda!F20="","",Yunda!F20),"")</f>
        <v/>
      </c>
      <c r="G31" s="23" t="str">
        <f aca="false">IFERROR(IF(Yunda!G20="","",Yunda!G20),"")</f>
        <v/>
      </c>
      <c r="H31" s="23" t="str">
        <f aca="false">IFERROR(IF(Yunda!H20="","",Yunda!H20),"")</f>
        <v/>
      </c>
      <c r="I31" s="23" t="str">
        <f aca="false">IFERROR(IF(Yunda!I20="","",Yunda!I20),"")</f>
        <v/>
      </c>
      <c r="J31" s="23" t="n">
        <f aca="false">IFERROR(IF(Yunda!J20="","",Yunda!J20),"")</f>
        <v>0.37</v>
      </c>
      <c r="K31" s="23" t="str">
        <f aca="false">IFERROR(IF(Yunda!K20="","",Yunda!K20),"")</f>
        <v/>
      </c>
      <c r="L31" s="23" t="str">
        <f aca="false">IFERROR(IF(Yunda!L20="","",Yunda!L20),"")</f>
        <v/>
      </c>
      <c r="M31" s="6"/>
    </row>
    <row r="33" customFormat="false" ht="24" hidden="false" customHeight="true" outlineLevel="0" collapsed="false">
      <c r="B33" s="19" t="s">
        <v>153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customFormat="false" ht="24" hidden="false" customHeight="true" outlineLevel="0" collapsed="false">
      <c r="B34" s="19" t="s">
        <v>154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</sheetData>
  <mergeCells count="2">
    <mergeCell ref="B33:M33"/>
    <mergeCell ref="B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54"/>
    <col collapsed="false" customWidth="true" hidden="false" outlineLevel="0" max="4" min="4" style="0" width="14"/>
    <col collapsed="false" customWidth="true" hidden="false" outlineLevel="0" max="5" min="5" style="0" width="80"/>
  </cols>
  <sheetData>
    <row r="2" customFormat="false" ht="16.15" hidden="false" customHeight="false" outlineLevel="0" collapsed="false">
      <c r="B2" s="1" t="s">
        <v>155</v>
      </c>
    </row>
    <row r="3" customFormat="false" ht="15" hidden="false" customHeight="false" outlineLevel="0" collapsed="false">
      <c r="B3" s="2" t="s">
        <v>156</v>
      </c>
    </row>
    <row r="5" customFormat="false" ht="15" hidden="false" customHeight="false" outlineLevel="0" collapsed="false">
      <c r="B5" s="7" t="s">
        <v>157</v>
      </c>
      <c r="C5" s="7" t="s">
        <v>158</v>
      </c>
      <c r="D5" s="7" t="s">
        <v>159</v>
      </c>
      <c r="E5" s="7" t="s">
        <v>160</v>
      </c>
    </row>
    <row r="6" customFormat="false" ht="15" hidden="false" customHeight="false" outlineLevel="0" collapsed="false">
      <c r="B6" s="24" t="s">
        <v>161</v>
      </c>
      <c r="C6" s="25"/>
      <c r="D6" s="25"/>
      <c r="E6" s="25"/>
    </row>
    <row r="7" customFormat="false" ht="24" hidden="false" customHeight="true" outlineLevel="0" collapsed="false">
      <c r="B7" s="26" t="s">
        <v>15</v>
      </c>
      <c r="C7" s="27" t="s">
        <v>162</v>
      </c>
      <c r="D7" s="28" t="s">
        <v>163</v>
      </c>
      <c r="E7" s="29" t="s">
        <v>164</v>
      </c>
    </row>
    <row r="8" customFormat="false" ht="24" hidden="false" customHeight="true" outlineLevel="0" collapsed="false">
      <c r="B8" s="26" t="s">
        <v>15</v>
      </c>
      <c r="C8" s="27" t="s">
        <v>165</v>
      </c>
      <c r="D8" s="28" t="s">
        <v>163</v>
      </c>
      <c r="E8" s="29" t="s">
        <v>166</v>
      </c>
    </row>
    <row r="9" customFormat="false" ht="24" hidden="false" customHeight="true" outlineLevel="0" collapsed="false">
      <c r="B9" s="26" t="s">
        <v>167</v>
      </c>
      <c r="C9" s="27" t="s">
        <v>168</v>
      </c>
      <c r="D9" s="28" t="s">
        <v>163</v>
      </c>
      <c r="E9" s="29" t="s">
        <v>169</v>
      </c>
    </row>
    <row r="10" customFormat="false" ht="24" hidden="false" customHeight="true" outlineLevel="0" collapsed="false">
      <c r="B10" s="26" t="s">
        <v>21</v>
      </c>
      <c r="C10" s="27" t="s">
        <v>170</v>
      </c>
      <c r="D10" s="28" t="s">
        <v>163</v>
      </c>
      <c r="E10" s="29" t="s">
        <v>171</v>
      </c>
    </row>
    <row r="11" customFormat="false" ht="15" hidden="false" customHeight="false" outlineLevel="0" collapsed="false">
      <c r="B11" s="24" t="s">
        <v>172</v>
      </c>
      <c r="C11" s="25"/>
      <c r="D11" s="25"/>
      <c r="E11" s="25"/>
    </row>
    <row r="12" customFormat="false" ht="24" hidden="false" customHeight="true" outlineLevel="0" collapsed="false">
      <c r="B12" s="26" t="s">
        <v>15</v>
      </c>
      <c r="C12" s="27" t="s">
        <v>173</v>
      </c>
      <c r="D12" s="28" t="s">
        <v>163</v>
      </c>
      <c r="E12" s="29" t="s">
        <v>174</v>
      </c>
    </row>
    <row r="13" customFormat="false" ht="24" hidden="false" customHeight="true" outlineLevel="0" collapsed="false">
      <c r="B13" s="26" t="s">
        <v>15</v>
      </c>
      <c r="C13" s="27" t="s">
        <v>175</v>
      </c>
      <c r="D13" s="28" t="s">
        <v>163</v>
      </c>
      <c r="E13" s="29" t="s">
        <v>176</v>
      </c>
    </row>
    <row r="14" customFormat="false" ht="24" hidden="false" customHeight="true" outlineLevel="0" collapsed="false">
      <c r="B14" s="26" t="s">
        <v>15</v>
      </c>
      <c r="C14" s="27" t="s">
        <v>177</v>
      </c>
      <c r="D14" s="28" t="s">
        <v>163</v>
      </c>
      <c r="E14" s="29" t="s">
        <v>178</v>
      </c>
    </row>
    <row r="15" customFormat="false" ht="24" hidden="false" customHeight="true" outlineLevel="0" collapsed="false">
      <c r="B15" s="26" t="s">
        <v>15</v>
      </c>
      <c r="C15" s="27" t="s">
        <v>179</v>
      </c>
      <c r="D15" s="28" t="s">
        <v>163</v>
      </c>
      <c r="E15" s="29" t="s">
        <v>180</v>
      </c>
    </row>
    <row r="16" customFormat="false" ht="24" hidden="false" customHeight="true" outlineLevel="0" collapsed="false">
      <c r="B16" s="26" t="s">
        <v>15</v>
      </c>
      <c r="C16" s="27" t="s">
        <v>181</v>
      </c>
      <c r="D16" s="28" t="s">
        <v>163</v>
      </c>
      <c r="E16" s="29" t="s">
        <v>182</v>
      </c>
    </row>
    <row r="17" customFormat="false" ht="24" hidden="false" customHeight="true" outlineLevel="0" collapsed="false">
      <c r="B17" s="26" t="s">
        <v>15</v>
      </c>
      <c r="C17" s="27" t="s">
        <v>183</v>
      </c>
      <c r="D17" s="28" t="s">
        <v>163</v>
      </c>
      <c r="E17" s="29" t="s">
        <v>184</v>
      </c>
    </row>
    <row r="18" customFormat="false" ht="24" hidden="false" customHeight="true" outlineLevel="0" collapsed="false">
      <c r="B18" s="26" t="s">
        <v>15</v>
      </c>
      <c r="C18" s="27" t="s">
        <v>185</v>
      </c>
      <c r="D18" s="28" t="s">
        <v>186</v>
      </c>
      <c r="E18" s="29" t="s">
        <v>187</v>
      </c>
    </row>
    <row r="19" customFormat="false" ht="24" hidden="false" customHeight="true" outlineLevel="0" collapsed="false">
      <c r="B19" s="26" t="s">
        <v>15</v>
      </c>
      <c r="C19" s="27" t="s">
        <v>188</v>
      </c>
      <c r="D19" s="28" t="s">
        <v>163</v>
      </c>
      <c r="E19" s="29" t="s">
        <v>189</v>
      </c>
    </row>
    <row r="20" customFormat="false" ht="15" hidden="false" customHeight="false" outlineLevel="0" collapsed="false">
      <c r="B20" s="24" t="s">
        <v>190</v>
      </c>
      <c r="C20" s="25"/>
      <c r="D20" s="25"/>
      <c r="E20" s="25"/>
    </row>
    <row r="21" customFormat="false" ht="24" hidden="false" customHeight="true" outlineLevel="0" collapsed="false">
      <c r="B21" s="26" t="s">
        <v>17</v>
      </c>
      <c r="C21" s="27" t="s">
        <v>191</v>
      </c>
      <c r="D21" s="28" t="s">
        <v>163</v>
      </c>
      <c r="E21" s="29" t="s">
        <v>192</v>
      </c>
    </row>
    <row r="22" customFormat="false" ht="24" hidden="false" customHeight="true" outlineLevel="0" collapsed="false">
      <c r="B22" s="26" t="s">
        <v>17</v>
      </c>
      <c r="C22" s="27" t="s">
        <v>193</v>
      </c>
      <c r="D22" s="28" t="s">
        <v>194</v>
      </c>
      <c r="E22" s="29" t="s">
        <v>195</v>
      </c>
    </row>
    <row r="23" customFormat="false" ht="24" hidden="false" customHeight="true" outlineLevel="0" collapsed="false">
      <c r="B23" s="26" t="s">
        <v>17</v>
      </c>
      <c r="C23" s="27" t="s">
        <v>196</v>
      </c>
      <c r="D23" s="28" t="s">
        <v>194</v>
      </c>
      <c r="E23" s="29" t="s">
        <v>197</v>
      </c>
    </row>
    <row r="24" customFormat="false" ht="24" hidden="false" customHeight="true" outlineLevel="0" collapsed="false">
      <c r="B24" s="26" t="s">
        <v>21</v>
      </c>
      <c r="C24" s="27" t="s">
        <v>198</v>
      </c>
      <c r="D24" s="28" t="s">
        <v>163</v>
      </c>
      <c r="E24" s="29" t="s">
        <v>199</v>
      </c>
    </row>
    <row r="25" customFormat="false" ht="24" hidden="false" customHeight="true" outlineLevel="0" collapsed="false">
      <c r="B25" s="26" t="s">
        <v>21</v>
      </c>
      <c r="C25" s="27" t="s">
        <v>200</v>
      </c>
      <c r="D25" s="28" t="s">
        <v>194</v>
      </c>
      <c r="E25" s="29" t="s">
        <v>201</v>
      </c>
    </row>
    <row r="26" customFormat="false" ht="33" hidden="false" customHeight="true" outlineLevel="0" collapsed="false">
      <c r="B26" s="26" t="s">
        <v>202</v>
      </c>
      <c r="C26" s="27" t="s">
        <v>203</v>
      </c>
      <c r="D26" s="28" t="s">
        <v>204</v>
      </c>
      <c r="E26" s="29" t="s">
        <v>205</v>
      </c>
    </row>
    <row r="27" customFormat="false" ht="24" hidden="false" customHeight="true" outlineLevel="0" collapsed="false">
      <c r="B27" s="26" t="s">
        <v>206</v>
      </c>
      <c r="C27" s="27" t="s">
        <v>207</v>
      </c>
      <c r="D27" s="28" t="s">
        <v>204</v>
      </c>
      <c r="E27" s="29" t="s">
        <v>208</v>
      </c>
    </row>
    <row r="28" customFormat="false" ht="24" hidden="false" customHeight="true" outlineLevel="0" collapsed="false">
      <c r="B28" s="26" t="s">
        <v>209</v>
      </c>
      <c r="C28" s="27" t="s">
        <v>210</v>
      </c>
      <c r="D28" s="28" t="s">
        <v>194</v>
      </c>
      <c r="E28" s="29" t="s">
        <v>211</v>
      </c>
    </row>
    <row r="29" customFormat="false" ht="24" hidden="false" customHeight="true" outlineLevel="0" collapsed="false">
      <c r="B29" s="26" t="s">
        <v>209</v>
      </c>
      <c r="C29" s="27" t="s">
        <v>212</v>
      </c>
      <c r="D29" s="28" t="s">
        <v>204</v>
      </c>
      <c r="E29" s="29" t="s">
        <v>213</v>
      </c>
    </row>
    <row r="30" customFormat="false" ht="24" hidden="false" customHeight="true" outlineLevel="0" collapsed="false">
      <c r="B30" s="26" t="s">
        <v>209</v>
      </c>
      <c r="C30" s="27" t="s">
        <v>214</v>
      </c>
      <c r="D30" s="28" t="s">
        <v>215</v>
      </c>
      <c r="E30" s="29" t="s">
        <v>216</v>
      </c>
    </row>
    <row r="31" customFormat="false" ht="24" hidden="false" customHeight="true" outlineLevel="0" collapsed="false">
      <c r="B31" s="26" t="s">
        <v>217</v>
      </c>
      <c r="C31" s="27" t="s">
        <v>218</v>
      </c>
      <c r="D31" s="28" t="s">
        <v>163</v>
      </c>
      <c r="E31" s="29" t="s">
        <v>219</v>
      </c>
    </row>
  </sheetData>
  <hyperlinks>
    <hyperlink ref="E7" r:id="rId1" display="https://www.sec.gov/cgi-bin/browse-edgar?action=getcompany&amp;CIK=1677250&amp;type=6-K"/>
    <hyperlink ref="E8" r:id="rId2" display="https://zto.investorroom.com/"/>
    <hyperlink ref="E9" r:id="rId3" display="http://www.cninfo.com.cn/"/>
    <hyperlink ref="E10" r:id="rId4" display="https://www.szse.cn/disclosure/listed/notice/"/>
    <hyperlink ref="E12" r:id="rId5" display="https://www.sec.gov/Archives/edgar/data/1677250/000110465919015351/a19-6586_1ex99d1.htm"/>
    <hyperlink ref="E13" r:id="rId6" display="https://www.sec.gov/Archives/edgar/data/1677250/000110465920035558/a20-13098_1ex99d1.htm"/>
    <hyperlink ref="E14" r:id="rId7" display="https://www.prnewswire.com/news-releases/zto-reports-fourth-quarter-2021-and-fiscal-year-2021-unaudited-financial-results-301504152.html"/>
    <hyperlink ref="E15" r:id="rId8" display="https://zto.investorroom.com/2023-03-15-ZTO-Reports-Fourth-Quarter-2022-and-Full-Year-2022-Unaudited-Financial-Results"/>
    <hyperlink ref="E16" r:id="rId9" display="https://www.prnewswire.com/news-releases/zto-reports-fourth-quarter-2023-and-full-year-2023-unaudited-financial-results-302093211.html"/>
    <hyperlink ref="E17" r:id="rId10" display="https://www.prnewswire.com/apac/news-releases/zto-reports-fourth-quarter-2024-and-full-year-2024-unaudited-financial-results-302404760.html"/>
    <hyperlink ref="E18" r:id="rId11" display="https://finance.yahoo.com/news/zto-express-cayman-inc-zto-070029100.html"/>
    <hyperlink ref="E19" r:id="rId12" display="https://www.sec.gov/Archives/edgar/data/1677250/000110465926030007/tm269230d1_ex99-1.htm"/>
    <hyperlink ref="E21" r:id="rId13" display="http://dataclouds.cninfo.com.cn/shgonggao/hsomarket/2026/20260422/fa3d52a190e54e3aae4a020d7823ec47.PDF"/>
    <hyperlink ref="E22" r:id="rId14" display="https://stock.stockstar.com/IG2026042200052531.shtml"/>
    <hyperlink ref="E23" r:id="rId15" display="https://www.stcn.com/article/detail/1734116.html"/>
    <hyperlink ref="E24" r:id="rId16" display="https://disc.static.szse.cn/disc/disk03/finalpage/2026-04-25/f6ea5552-0a7b-4f6c-a787-b4962bdf81ed.PDF"/>
    <hyperlink ref="E25" r:id="rId17" display="https://finance.cnr.cn/ycbd/20260425/t20260425_527599983.shtml"/>
    <hyperlink ref="E26" r:id="rId18" display="https://news.qq.com/rain/a/20240501A06UW400"/>
    <hyperlink ref="E27" r:id="rId19" display="https://www.huxiu.com/article/4862999.html"/>
    <hyperlink ref="E28" r:id="rId20" display="https://www.nbd.com.cn/articles/2025-01-27/3738264.html"/>
    <hyperlink ref="E29" r:id="rId21" display="https://zhuanlan.zhihu.com/p/641739686"/>
    <hyperlink ref="E30" r:id="rId22" display="https://reportify-1252068037.cos.ap-beijing.myqcloud.com/media/production/s_c7800a1b_c7800a1b89250ed2fe72d28dca36baf7.pdf"/>
    <hyperlink ref="E31" r:id="rId23" display="https://www.chinanews.com.cn/cj/2026/01-22/10557017.s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2026-09-11T04:39:01Z</dcterms:created>
  <dc:creator>openpyxl</dc:creator>
  <dc:description/>
  <dc:language>en-US</dc:language>
  <cp:lastModifiedBy/>
  <dcterms:modified xsi:type="dcterms:W3CDTF">2026-09-11T04:39:01Z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