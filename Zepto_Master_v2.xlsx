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pto Master (Ann+Qtr)" sheetId="1" state="visible" r:id="rId1"/>
    <sheet xmlns:r="http://schemas.openxmlformats.org/officeDocument/2006/relationships" name="Cash Flow (Quarterly)" sheetId="2" state="visible" r:id="rId2"/>
    <sheet xmlns:r="http://schemas.openxmlformats.org/officeDocument/2006/relationships" name="WC &amp; Capex Reconc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#,##0.00;(#,##0.00);-"/>
    <numFmt numFmtId="166" formatCode="0.0%;(0.0%);-"/>
  </numFmts>
  <fonts count="10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i val="1"/>
      <color rgb="00666666"/>
      <sz val="8"/>
    </font>
    <font>
      <name val="Arial"/>
      <b val="1"/>
      <color rgb="00FFFFFF"/>
      <sz val="9"/>
    </font>
    <font>
      <name val="Arial"/>
      <sz val="8.5"/>
    </font>
    <font>
      <name val="Arial"/>
      <b val="1"/>
      <sz val="9"/>
    </font>
    <font>
      <name val="Arial"/>
      <b val="1"/>
      <color rgb="001F4E5F"/>
      <sz val="13"/>
    </font>
    <font>
      <name val="Arial"/>
      <sz val="8"/>
    </font>
    <font>
      <name val="Arial"/>
      <i val="1"/>
      <color rgb="00333333"/>
      <sz val="8"/>
    </font>
    <font>
      <name val="Arial"/>
      <b val="1"/>
      <sz val="8.5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2E6B7F"/>
      </patternFill>
    </fill>
    <fill>
      <patternFill patternType="solid">
        <fgColor rgb="00EAF1F4"/>
      </patternFill>
    </fill>
    <fill>
      <patternFill patternType="solid">
        <fgColor rgb="00F2D9A0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indent="1"/>
    </xf>
    <xf numFmtId="0" fontId="3" fillId="2" borderId="1" applyAlignment="1" pivotButton="0" quotePrefix="0" xfId="0">
      <alignment horizontal="center"/>
    </xf>
    <xf numFmtId="0" fontId="3" fillId="3" borderId="0" applyAlignment="1" pivotButton="0" quotePrefix="0" xfId="0">
      <alignment indent="1"/>
    </xf>
    <xf numFmtId="0" fontId="4" fillId="0" borderId="1" applyAlignment="1" pivotButton="0" quotePrefix="0" xfId="0">
      <alignment wrapText="1" indent="1"/>
    </xf>
    <xf numFmtId="164" fontId="4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5" fillId="5" borderId="1" applyAlignment="1" pivotButton="0" quotePrefix="0" xfId="0">
      <alignment wrapText="1" indent="1"/>
    </xf>
    <xf numFmtId="164" fontId="5" fillId="5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6" fillId="0" borderId="0" pivotButton="0" quotePrefix="0" xfId="0"/>
    <xf numFmtId="0" fontId="3" fillId="2" borderId="1" applyAlignment="1" pivotButton="0" quotePrefix="0" xfId="0">
      <alignment indent="1"/>
    </xf>
    <xf numFmtId="0" fontId="7" fillId="0" borderId="1" applyAlignment="1" pivotButton="0" quotePrefix="0" xfId="0">
      <alignment wrapText="1" indent="1"/>
    </xf>
    <xf numFmtId="164" fontId="7" fillId="0" borderId="1" applyAlignment="1" pivotButton="0" quotePrefix="0" xfId="0">
      <alignment horizontal="right"/>
    </xf>
    <xf numFmtId="0" fontId="8" fillId="0" borderId="2" applyAlignment="1" pivotButton="0" quotePrefix="0" xfId="0">
      <alignment wrapText="1" indent="1"/>
    </xf>
    <xf numFmtId="164" fontId="7" fillId="0" borderId="2" applyAlignment="1" pivotButton="0" quotePrefix="0" xfId="0">
      <alignment horizontal="right"/>
    </xf>
    <xf numFmtId="0" fontId="7" fillId="0" borderId="1" applyAlignment="1" pivotButton="0" quotePrefix="0" xfId="0">
      <alignment wrapText="1" indent="2"/>
    </xf>
    <xf numFmtId="0" fontId="9" fillId="5" borderId="1" applyAlignment="1" pivotButton="0" quotePrefix="0" xfId="0">
      <alignment wrapText="1" indent="1"/>
    </xf>
    <xf numFmtId="164" fontId="9" fillId="5" borderId="1" applyAlignment="1" pivotButton="0" quotePrefix="0" xfId="0">
      <alignment horizontal="right"/>
    </xf>
    <xf numFmtId="0" fontId="8" fillId="0" borderId="0" pivotButton="0" quotePrefix="0" xfId="0"/>
    <xf numFmtId="165" fontId="7" fillId="4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9" fillId="5" borderId="1" applyAlignment="1" pivotButton="0" quotePrefix="0" xfId="0">
      <alignment horizontal="right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13" customWidth="1" min="2" max="2"/>
    <col width="13" customWidth="1" min="3" max="3"/>
    <col width="13" customWidth="1" min="4" max="4"/>
    <col width="2.5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A1" s="1" t="inlineStr">
        <is>
          <t>ZEPTO LIMITED — P&amp;L, Balance Sheet, Cash Flow &amp; KPIs (Annual + Quarterly)</t>
        </is>
      </c>
    </row>
    <row r="2">
      <c r="A2" s="2" t="inlineStr">
        <is>
          <t>Rs million unless stated. Source: UDRHP-I. Annual (left) FY ended 31 Mar; Quarterly (right) Q1FY24 -&gt; Q4FY26.</t>
        </is>
      </c>
    </row>
    <row r="4">
      <c r="A4" s="3" t="inlineStr"/>
      <c r="B4" s="4" t="inlineStr">
        <is>
          <t>ANNUAL</t>
        </is>
      </c>
      <c r="E4" s="3" t="n"/>
      <c r="F4" s="4" t="inlineStr">
        <is>
          <t>QUARTERLY</t>
        </is>
      </c>
    </row>
    <row r="5">
      <c r="A5" s="5" t="inlineStr">
        <is>
          <t>Rs million</t>
        </is>
      </c>
      <c r="B5" s="6" t="inlineStr">
        <is>
          <t>FY2024</t>
        </is>
      </c>
      <c r="C5" s="6" t="inlineStr">
        <is>
          <t>FY2025</t>
        </is>
      </c>
      <c r="D5" s="6" t="inlineStr">
        <is>
          <t>FY2026</t>
        </is>
      </c>
      <c r="E5" s="3" t="n"/>
      <c r="F5" s="6" t="inlineStr">
        <is>
          <t>Q1FY24</t>
        </is>
      </c>
      <c r="G5" s="6" t="inlineStr">
        <is>
          <t>Q2FY24</t>
        </is>
      </c>
      <c r="H5" s="6" t="inlineStr">
        <is>
          <t>Q3FY24</t>
        </is>
      </c>
      <c r="I5" s="6" t="inlineStr">
        <is>
          <t>Q4FY24</t>
        </is>
      </c>
      <c r="J5" s="6" t="inlineStr">
        <is>
          <t>Q1FY25</t>
        </is>
      </c>
      <c r="K5" s="6" t="inlineStr">
        <is>
          <t>Q2FY25</t>
        </is>
      </c>
      <c r="L5" s="6" t="inlineStr">
        <is>
          <t>Q3FY25</t>
        </is>
      </c>
      <c r="M5" s="6" t="inlineStr">
        <is>
          <t>Q4FY25</t>
        </is>
      </c>
      <c r="N5" s="6" t="inlineStr">
        <is>
          <t>Q1FY26</t>
        </is>
      </c>
      <c r="O5" s="6" t="inlineStr">
        <is>
          <t>Q2FY26</t>
        </is>
      </c>
      <c r="P5" s="6" t="inlineStr">
        <is>
          <t>Q3FY26</t>
        </is>
      </c>
      <c r="Q5" s="6" t="inlineStr">
        <is>
          <t>Q4FY26</t>
        </is>
      </c>
    </row>
    <row r="6">
      <c r="A6" s="7" t="inlineStr">
        <is>
          <t>PROFIT &amp; LOSS</t>
        </is>
      </c>
    </row>
    <row r="7">
      <c r="A7" s="8" t="inlineStr">
        <is>
          <t>Revenue from operations</t>
        </is>
      </c>
      <c r="B7" s="9" t="n">
        <v>44545.16</v>
      </c>
      <c r="C7" s="9" t="n">
        <v>111099.47</v>
      </c>
      <c r="D7" s="9" t="n">
        <v>226235.84</v>
      </c>
      <c r="F7" s="10" t="n">
        <v>8663.940000000001</v>
      </c>
      <c r="G7" s="10" t="n">
        <v>10354.85</v>
      </c>
      <c r="H7" s="10" t="n">
        <v>11453.3</v>
      </c>
      <c r="I7" s="10" t="n">
        <v>14073.07</v>
      </c>
      <c r="J7" s="10" t="n">
        <v>16495.18</v>
      </c>
      <c r="K7" s="10" t="n">
        <v>20556.85</v>
      </c>
      <c r="L7" s="10" t="n">
        <v>31266.82</v>
      </c>
      <c r="M7" s="10" t="n">
        <v>42780.62</v>
      </c>
      <c r="N7" s="10" t="n">
        <v>46222.7</v>
      </c>
      <c r="O7" s="10" t="n">
        <v>46853.72</v>
      </c>
      <c r="P7" s="10" t="n">
        <v>58182.96</v>
      </c>
      <c r="Q7" s="10" t="n">
        <v>74976.46000000001</v>
      </c>
    </row>
    <row r="8">
      <c r="A8" s="8" t="inlineStr">
        <is>
          <t>Other income</t>
        </is>
      </c>
      <c r="B8" s="9" t="n">
        <v>896.5599999999999</v>
      </c>
      <c r="C8" s="9" t="n">
        <v>4928.07</v>
      </c>
      <c r="D8" s="9" t="n">
        <v>5047.94</v>
      </c>
      <c r="F8" s="10" t="n">
        <v>102.66</v>
      </c>
      <c r="G8" s="10" t="n">
        <v>169.54</v>
      </c>
      <c r="H8" s="10" t="n">
        <v>322.96</v>
      </c>
      <c r="I8" s="10" t="n">
        <v>301.4</v>
      </c>
      <c r="J8" s="10" t="n">
        <v>256.45</v>
      </c>
      <c r="K8" s="10" t="n">
        <v>1155.6</v>
      </c>
      <c r="L8" s="10" t="n">
        <v>1709.4</v>
      </c>
      <c r="M8" s="10" t="n">
        <v>1806.62</v>
      </c>
      <c r="N8" s="10" t="n">
        <v>1613.75</v>
      </c>
      <c r="O8" s="10" t="n">
        <v>1143.37</v>
      </c>
      <c r="P8" s="10" t="n">
        <v>1171.02</v>
      </c>
      <c r="Q8" s="10" t="n">
        <v>1119.8</v>
      </c>
    </row>
    <row r="9">
      <c r="A9" s="11" t="inlineStr">
        <is>
          <t>Total income</t>
        </is>
      </c>
      <c r="B9" s="12" t="n">
        <v>45441.72</v>
      </c>
      <c r="C9" s="12" t="n">
        <v>116027.54</v>
      </c>
      <c r="D9" s="12" t="n">
        <v>231283.78</v>
      </c>
      <c r="F9" s="12" t="n">
        <v>8766.6</v>
      </c>
      <c r="G9" s="12" t="n">
        <v>10524.39</v>
      </c>
      <c r="H9" s="12" t="n">
        <v>11776.26</v>
      </c>
      <c r="I9" s="12" t="n">
        <v>14374.47</v>
      </c>
      <c r="J9" s="12" t="n">
        <v>16751.63</v>
      </c>
      <c r="K9" s="12" t="n">
        <v>21712.45</v>
      </c>
      <c r="L9" s="12" t="n">
        <v>32976.22</v>
      </c>
      <c r="M9" s="12" t="n">
        <v>44587.24</v>
      </c>
      <c r="N9" s="12" t="n">
        <v>47836.45</v>
      </c>
      <c r="O9" s="12" t="n">
        <v>47997.09</v>
      </c>
      <c r="P9" s="12" t="n">
        <v>59353.98</v>
      </c>
      <c r="Q9" s="12" t="n">
        <v>76096.25999999999</v>
      </c>
    </row>
    <row r="10">
      <c r="A10" s="8" t="inlineStr">
        <is>
          <t>Purchase of traded goods</t>
        </is>
      </c>
      <c r="B10" s="9" t="n">
        <v>34626.73</v>
      </c>
      <c r="C10" s="9" t="n">
        <v>100260.18</v>
      </c>
      <c r="D10" s="9" t="n">
        <v>184849.75</v>
      </c>
      <c r="F10" s="10" t="n">
        <v>7008.13</v>
      </c>
      <c r="G10" s="10" t="n">
        <v>7763.33</v>
      </c>
      <c r="H10" s="10" t="n">
        <v>9198.01</v>
      </c>
      <c r="I10" s="10" t="n">
        <v>10657.26</v>
      </c>
      <c r="J10" s="10" t="n">
        <v>13329.11</v>
      </c>
      <c r="K10" s="10" t="n">
        <v>18536.94</v>
      </c>
      <c r="L10" s="10" t="n">
        <v>28988.33</v>
      </c>
      <c r="M10" s="10" t="n">
        <v>39405.8</v>
      </c>
      <c r="N10" s="10" t="n">
        <v>34516.76</v>
      </c>
      <c r="O10" s="10" t="n">
        <v>38672.04</v>
      </c>
      <c r="P10" s="10" t="n">
        <v>48748.24</v>
      </c>
      <c r="Q10" s="10" t="n">
        <v>62912.71</v>
      </c>
    </row>
    <row r="11">
      <c r="A11" s="8" t="inlineStr">
        <is>
          <t>Change in inventories of traded goods</t>
        </is>
      </c>
      <c r="B11" s="9" t="n">
        <v>311.86</v>
      </c>
      <c r="C11" s="9" t="n">
        <v>-4838.95</v>
      </c>
      <c r="D11" s="9" t="n">
        <v>-2866.07</v>
      </c>
      <c r="F11" s="10" t="n">
        <v>197.4</v>
      </c>
      <c r="G11" s="10" t="n">
        <v>538.9299999999999</v>
      </c>
      <c r="H11" s="10" t="n">
        <v>-289.38</v>
      </c>
      <c r="I11" s="10" t="n">
        <v>-135.09</v>
      </c>
      <c r="J11" s="10" t="n">
        <v>-582.08</v>
      </c>
      <c r="K11" s="10" t="n">
        <v>-1191.8</v>
      </c>
      <c r="L11" s="10" t="n">
        <v>-1429.64</v>
      </c>
      <c r="M11" s="10" t="n">
        <v>-1635.43</v>
      </c>
      <c r="N11" s="10" t="n">
        <v>976.91</v>
      </c>
      <c r="O11" s="10" t="n">
        <v>-874.8200000000001</v>
      </c>
      <c r="P11" s="10" t="n">
        <v>-1181.77</v>
      </c>
      <c r="Q11" s="10" t="n">
        <v>-1786.39</v>
      </c>
    </row>
    <row r="12">
      <c r="A12" s="8" t="inlineStr">
        <is>
          <t>Delivery and handling expense</t>
        </is>
      </c>
      <c r="B12" s="9" t="n">
        <v>5808.72</v>
      </c>
      <c r="C12" s="9" t="n">
        <v>15989.35</v>
      </c>
      <c r="D12" s="9" t="n">
        <v>30463.41</v>
      </c>
      <c r="F12" s="10" t="n">
        <v>1080.42</v>
      </c>
      <c r="G12" s="10" t="n">
        <v>1206.55</v>
      </c>
      <c r="H12" s="10" t="n">
        <v>1508.07</v>
      </c>
      <c r="I12" s="10" t="n">
        <v>2013.68</v>
      </c>
      <c r="J12" s="10" t="n">
        <v>2146.3</v>
      </c>
      <c r="K12" s="10" t="n">
        <v>3149.44</v>
      </c>
      <c r="L12" s="10" t="n">
        <v>4680.55</v>
      </c>
      <c r="M12" s="10" t="n">
        <v>6013.06</v>
      </c>
      <c r="N12" s="10" t="n">
        <v>5899.56</v>
      </c>
      <c r="O12" s="10" t="n">
        <v>6436.72</v>
      </c>
      <c r="P12" s="10" t="n">
        <v>8015.23</v>
      </c>
      <c r="Q12" s="10" t="n">
        <v>10111.9</v>
      </c>
    </row>
    <row r="13">
      <c r="A13" s="8" t="inlineStr">
        <is>
          <t>Employee benefits expense</t>
        </is>
      </c>
      <c r="B13" s="9" t="n">
        <v>4261.94</v>
      </c>
      <c r="C13" s="9" t="n">
        <v>12406.43</v>
      </c>
      <c r="D13" s="9" t="n">
        <v>17846.67</v>
      </c>
      <c r="F13" s="10" t="n">
        <v>783.15</v>
      </c>
      <c r="G13" s="10" t="n">
        <v>1030.18</v>
      </c>
      <c r="H13" s="10" t="n">
        <v>1040.08</v>
      </c>
      <c r="I13" s="10" t="n">
        <v>1408.53</v>
      </c>
      <c r="J13" s="10" t="n">
        <v>1880.31</v>
      </c>
      <c r="K13" s="10" t="n">
        <v>1981.41</v>
      </c>
      <c r="L13" s="10" t="n">
        <v>4366.48</v>
      </c>
      <c r="M13" s="10" t="n">
        <v>4178.23</v>
      </c>
      <c r="N13" s="10" t="n">
        <v>3422.66</v>
      </c>
      <c r="O13" s="10" t="n">
        <v>3800.62</v>
      </c>
      <c r="P13" s="10" t="n">
        <v>4220.01</v>
      </c>
      <c r="Q13" s="10" t="n">
        <v>6403.38</v>
      </c>
    </row>
    <row r="14">
      <c r="A14" s="8" t="inlineStr">
        <is>
          <t>Finance costs</t>
        </is>
      </c>
      <c r="B14" s="9" t="n">
        <v>568.9400000000001</v>
      </c>
      <c r="C14" s="9" t="n">
        <v>1377.08</v>
      </c>
      <c r="D14" s="9" t="n">
        <v>2647.91</v>
      </c>
      <c r="F14" s="10" t="n">
        <v>126</v>
      </c>
      <c r="G14" s="10" t="n">
        <v>136.71</v>
      </c>
      <c r="H14" s="10" t="n">
        <v>157.84</v>
      </c>
      <c r="I14" s="10" t="n">
        <v>148.39</v>
      </c>
      <c r="J14" s="10" t="n">
        <v>182.89</v>
      </c>
      <c r="K14" s="10" t="n">
        <v>233.66</v>
      </c>
      <c r="L14" s="10" t="n">
        <v>413.26</v>
      </c>
      <c r="M14" s="10" t="n">
        <v>547.27</v>
      </c>
      <c r="N14" s="10" t="n">
        <v>627.64</v>
      </c>
      <c r="O14" s="10" t="n">
        <v>688.7</v>
      </c>
      <c r="P14" s="10" t="n">
        <v>669.73</v>
      </c>
      <c r="Q14" s="10" t="n">
        <v>661.84</v>
      </c>
    </row>
    <row r="15">
      <c r="A15" s="8" t="inlineStr">
        <is>
          <t>Depreciation &amp; amortisation</t>
        </is>
      </c>
      <c r="B15" s="9" t="n">
        <v>1209.8</v>
      </c>
      <c r="C15" s="9" t="n">
        <v>4040.75</v>
      </c>
      <c r="D15" s="9" t="n">
        <v>8942.559999999999</v>
      </c>
      <c r="F15" s="10" t="n">
        <v>215.68</v>
      </c>
      <c r="G15" s="10" t="n">
        <v>252.58</v>
      </c>
      <c r="H15" s="10" t="n">
        <v>302.57</v>
      </c>
      <c r="I15" s="10" t="n">
        <v>438.97</v>
      </c>
      <c r="J15" s="10" t="n">
        <v>495.48</v>
      </c>
      <c r="K15" s="10" t="n">
        <v>646.05</v>
      </c>
      <c r="L15" s="10" t="n">
        <v>1197.11</v>
      </c>
      <c r="M15" s="10" t="n">
        <v>1702.11</v>
      </c>
      <c r="N15" s="10" t="n">
        <v>1991.7</v>
      </c>
      <c r="O15" s="10" t="n">
        <v>2193.34</v>
      </c>
      <c r="P15" s="10" t="n">
        <v>2295.12</v>
      </c>
      <c r="Q15" s="10" t="n">
        <v>2462.4</v>
      </c>
    </row>
    <row r="16">
      <c r="A16" s="8" t="inlineStr">
        <is>
          <t>Other expenses</t>
        </is>
      </c>
      <c r="B16" s="9" t="n">
        <v>10724.15</v>
      </c>
      <c r="C16" s="9" t="n">
        <v>33175.85</v>
      </c>
      <c r="D16" s="9" t="n">
        <v>48383.23</v>
      </c>
      <c r="F16" s="10" t="n">
        <v>1856.42</v>
      </c>
      <c r="G16" s="10" t="n">
        <v>2144.79</v>
      </c>
      <c r="H16" s="10" t="n">
        <v>2977.04</v>
      </c>
      <c r="I16" s="10" t="n">
        <v>3745.9</v>
      </c>
      <c r="J16" s="10" t="n">
        <v>3233.98</v>
      </c>
      <c r="K16" s="10" t="n">
        <v>6333.58</v>
      </c>
      <c r="L16" s="10" t="n">
        <v>11484.42</v>
      </c>
      <c r="M16" s="10" t="n">
        <v>12123.87</v>
      </c>
      <c r="N16" s="10" t="n">
        <v>11001.67</v>
      </c>
      <c r="O16" s="10" t="n">
        <v>13256.75</v>
      </c>
      <c r="P16" s="10" t="n">
        <v>13407.66</v>
      </c>
      <c r="Q16" s="10" t="n">
        <v>10717.15</v>
      </c>
    </row>
    <row r="17">
      <c r="A17" s="11" t="inlineStr">
        <is>
          <t>Total expenses</t>
        </is>
      </c>
      <c r="B17" s="12" t="n">
        <v>57512.14000000001</v>
      </c>
      <c r="C17" s="12" t="n">
        <v>162410.69</v>
      </c>
      <c r="D17" s="12" t="n">
        <v>290267.46</v>
      </c>
      <c r="F17" s="12" t="n">
        <v>11267.2</v>
      </c>
      <c r="G17" s="12" t="n">
        <v>13073.07</v>
      </c>
      <c r="H17" s="12" t="n">
        <v>14894.23</v>
      </c>
      <c r="I17" s="12" t="n">
        <v>18277.64</v>
      </c>
      <c r="J17" s="12" t="n">
        <v>20685.99</v>
      </c>
      <c r="K17" s="12" t="n">
        <v>29689.28</v>
      </c>
      <c r="L17" s="12" t="n">
        <v>49700.51</v>
      </c>
      <c r="M17" s="12" t="n">
        <v>62334.91</v>
      </c>
      <c r="N17" s="12" t="n">
        <v>58436.89999999999</v>
      </c>
      <c r="O17" s="12" t="n">
        <v>64173.35000000001</v>
      </c>
      <c r="P17" s="12" t="n">
        <v>76174.22</v>
      </c>
      <c r="Q17" s="12" t="n">
        <v>91482.98999999999</v>
      </c>
    </row>
    <row r="18">
      <c r="A18" s="11" t="inlineStr">
        <is>
          <t>Restated loss before exceptional items &amp; tax</t>
        </is>
      </c>
      <c r="B18" s="12" t="n">
        <v>-12070.42</v>
      </c>
      <c r="C18" s="12" t="n">
        <v>-46383.15</v>
      </c>
      <c r="D18" s="12" t="n">
        <v>-58983.68</v>
      </c>
      <c r="F18" s="12" t="n">
        <v>-2500.6</v>
      </c>
      <c r="G18" s="12" t="n">
        <v>-2548.68</v>
      </c>
      <c r="H18" s="12" t="n">
        <v>-3117.97</v>
      </c>
      <c r="I18" s="12" t="n">
        <v>-3903.17</v>
      </c>
      <c r="J18" s="12" t="n">
        <v>-3934.36</v>
      </c>
      <c r="K18" s="12" t="n">
        <v>-7976.83</v>
      </c>
      <c r="L18" s="12" t="n">
        <v>-16724.29</v>
      </c>
      <c r="M18" s="12" t="n">
        <v>-17747.67</v>
      </c>
      <c r="N18" s="12" t="n">
        <v>-10600.45</v>
      </c>
      <c r="O18" s="12" t="n">
        <v>-16176.26</v>
      </c>
      <c r="P18" s="12" t="n">
        <v>-16820.24</v>
      </c>
      <c r="Q18" s="12" t="n">
        <v>-15386.73</v>
      </c>
    </row>
    <row r="19">
      <c r="A19" s="11" t="inlineStr">
        <is>
          <t>Restated loss for the period</t>
        </is>
      </c>
      <c r="B19" s="12" t="n">
        <v>-12147.94</v>
      </c>
      <c r="C19" s="12" t="n">
        <v>-46997.14</v>
      </c>
      <c r="D19" s="12" t="n">
        <v>-59051.92</v>
      </c>
      <c r="F19" s="12" t="n">
        <v>-2519.89</v>
      </c>
      <c r="G19" s="12" t="n">
        <v>-2568.03</v>
      </c>
      <c r="H19" s="12" t="n">
        <v>-3137.39</v>
      </c>
      <c r="I19" s="12" t="n">
        <v>-3922.63</v>
      </c>
      <c r="J19" s="12" t="n">
        <v>-3954.09</v>
      </c>
      <c r="K19" s="12" t="n">
        <v>-7996.62</v>
      </c>
      <c r="L19" s="12" t="n">
        <v>-16727.3</v>
      </c>
      <c r="M19" s="12" t="n">
        <v>-18319.13</v>
      </c>
      <c r="N19" s="12" t="n">
        <v>-10600.45</v>
      </c>
      <c r="O19" s="12" t="n">
        <v>-16176.26</v>
      </c>
      <c r="P19" s="12" t="n">
        <v>-16888.48</v>
      </c>
      <c r="Q19" s="12" t="n">
        <v>-15386.73</v>
      </c>
    </row>
    <row r="20">
      <c r="A20" s="8" t="inlineStr">
        <is>
          <t>Basic &amp; diluted EPS (Rs)</t>
        </is>
      </c>
      <c r="B20" s="13" t="n">
        <v>-1.14</v>
      </c>
      <c r="C20" s="13" t="n">
        <v>-3.64</v>
      </c>
      <c r="D20" s="13" t="n">
        <v>-5.05</v>
      </c>
      <c r="F20" s="14" t="n">
        <v>-0.27</v>
      </c>
      <c r="G20" s="14" t="n">
        <v>-0.26</v>
      </c>
      <c r="H20" s="14" t="n">
        <v>-0.28</v>
      </c>
      <c r="I20" s="14" t="n">
        <v>-0.34</v>
      </c>
      <c r="J20" s="14" t="n">
        <v>-0.39</v>
      </c>
      <c r="K20" s="14" t="n">
        <v>-0.64</v>
      </c>
      <c r="L20" s="14" t="n">
        <v>-1.18</v>
      </c>
      <c r="M20" s="14" t="n">
        <v>-1.23</v>
      </c>
      <c r="N20" s="14" t="n">
        <v>-0.71</v>
      </c>
      <c r="O20" s="14" t="n">
        <v>-1.08</v>
      </c>
      <c r="P20" s="14" t="n">
        <v>-1.43</v>
      </c>
      <c r="Q20" s="14" t="n">
        <v>-1.28</v>
      </c>
    </row>
    <row r="21">
      <c r="A21" s="7" t="inlineStr">
        <is>
          <t>BALANCE SHEET (as at period end)</t>
        </is>
      </c>
    </row>
    <row r="22">
      <c r="A22" s="8" t="inlineStr">
        <is>
          <t>Property, plant &amp; equipment (net)</t>
        </is>
      </c>
      <c r="B22" s="9" t="n">
        <v>1457.05</v>
      </c>
      <c r="C22" s="9" t="n">
        <v>8940.9</v>
      </c>
      <c r="D22" s="9" t="n">
        <v>8814.530000000001</v>
      </c>
      <c r="F22" s="10" t="n">
        <v>1072.91</v>
      </c>
      <c r="G22" s="10" t="n">
        <v>1211.04</v>
      </c>
      <c r="H22" s="10" t="n">
        <v>1420.82</v>
      </c>
      <c r="I22" s="10" t="n">
        <v>1457.05</v>
      </c>
      <c r="J22" s="10" t="n">
        <v>1547.41</v>
      </c>
      <c r="K22" s="10" t="n">
        <v>2492.18</v>
      </c>
      <c r="L22" s="10" t="n">
        <v>5531.5</v>
      </c>
      <c r="M22" s="10" t="n">
        <v>8940.9</v>
      </c>
      <c r="N22" s="10" t="n">
        <v>8914.290000000001</v>
      </c>
      <c r="O22" s="10" t="n">
        <v>8919.059999999999</v>
      </c>
      <c r="P22" s="10" t="n">
        <v>8751.15</v>
      </c>
      <c r="Q22" s="10" t="n">
        <v>8814.530000000001</v>
      </c>
    </row>
    <row r="23">
      <c r="A23" s="8" t="inlineStr">
        <is>
          <t>Right-of-use assets</t>
        </is>
      </c>
      <c r="B23" s="9" t="n">
        <v>3169.13</v>
      </c>
      <c r="C23" s="9" t="n">
        <v>21056.47</v>
      </c>
      <c r="D23" s="9" t="n">
        <v>25062.14</v>
      </c>
      <c r="F23" s="10" t="n">
        <v>2224.6</v>
      </c>
      <c r="G23" s="10" t="n">
        <v>2716.21</v>
      </c>
      <c r="H23" s="10" t="n">
        <v>3155.98</v>
      </c>
      <c r="I23" s="10" t="n">
        <v>3169.13</v>
      </c>
      <c r="J23" s="10" t="n">
        <v>4715.22</v>
      </c>
      <c r="K23" s="10" t="n">
        <v>9974.049999999999</v>
      </c>
      <c r="L23" s="10" t="n">
        <v>18325.25</v>
      </c>
      <c r="M23" s="10" t="n">
        <v>21056.47</v>
      </c>
      <c r="N23" s="10" t="n">
        <v>24385.81</v>
      </c>
      <c r="O23" s="10" t="n">
        <v>25150.12</v>
      </c>
      <c r="P23" s="10" t="n">
        <v>24777.03</v>
      </c>
      <c r="Q23" s="10" t="n">
        <v>25062.14</v>
      </c>
    </row>
    <row r="24">
      <c r="A24" s="8" t="inlineStr">
        <is>
          <t>Inventories</t>
        </is>
      </c>
      <c r="B24" s="9" t="n">
        <v>1265.47</v>
      </c>
      <c r="C24" s="9" t="n">
        <v>6104.42</v>
      </c>
      <c r="D24" s="9" t="n">
        <v>8970.49</v>
      </c>
      <c r="F24" s="10" t="n">
        <v>1379.93</v>
      </c>
      <c r="G24" s="10" t="n">
        <v>841</v>
      </c>
      <c r="H24" s="10" t="n">
        <v>1130.38</v>
      </c>
      <c r="I24" s="10" t="n">
        <v>1265.47</v>
      </c>
      <c r="J24" s="10" t="n">
        <v>1847.55</v>
      </c>
      <c r="K24" s="10" t="n">
        <v>3039.35</v>
      </c>
      <c r="L24" s="10" t="n">
        <v>4468.99</v>
      </c>
      <c r="M24" s="10" t="n">
        <v>6104.42</v>
      </c>
      <c r="N24" s="10" t="n">
        <v>5127.51</v>
      </c>
      <c r="O24" s="10" t="n">
        <v>6002.33</v>
      </c>
      <c r="P24" s="10" t="n">
        <v>7184.1</v>
      </c>
      <c r="Q24" s="10" t="n">
        <v>8970.49</v>
      </c>
    </row>
    <row r="25">
      <c r="A25" s="8" t="inlineStr">
        <is>
          <t>Investments (current)</t>
        </is>
      </c>
      <c r="B25" s="9" t="n">
        <v>0</v>
      </c>
      <c r="C25" s="9" t="n">
        <v>43750.08</v>
      </c>
      <c r="D25" s="9" t="n">
        <v>37972.32</v>
      </c>
      <c r="F25" s="10" t="n">
        <v>3587.39</v>
      </c>
      <c r="G25" s="10" t="n">
        <v>2013.62</v>
      </c>
      <c r="H25" s="10" t="n">
        <v>5070.08</v>
      </c>
      <c r="I25" s="10" t="n">
        <v>0</v>
      </c>
      <c r="J25" s="10" t="n">
        <v>5078.78</v>
      </c>
      <c r="K25" s="10" t="n">
        <v>48021.22</v>
      </c>
      <c r="L25" s="10" t="n">
        <v>57704.84</v>
      </c>
      <c r="M25" s="10" t="n">
        <v>43750.08</v>
      </c>
      <c r="N25" s="10" t="n">
        <v>33839.14</v>
      </c>
      <c r="O25" s="10" t="n">
        <v>29491.87</v>
      </c>
      <c r="P25" s="10" t="n">
        <v>44132.48</v>
      </c>
      <c r="Q25" s="10" t="n">
        <v>37972.32</v>
      </c>
    </row>
    <row r="26">
      <c r="A26" s="8" t="inlineStr">
        <is>
          <t>Trade receivables</t>
        </is>
      </c>
      <c r="B26" s="9" t="n">
        <v>3236.85</v>
      </c>
      <c r="C26" s="9" t="n">
        <v>17908.43</v>
      </c>
      <c r="D26" s="9" t="n">
        <v>24235.48</v>
      </c>
      <c r="F26" s="10" t="n">
        <v>671.79</v>
      </c>
      <c r="G26" s="10" t="n">
        <v>1730.88</v>
      </c>
      <c r="H26" s="10" t="n">
        <v>2632.98</v>
      </c>
      <c r="I26" s="10" t="n">
        <v>3236.85</v>
      </c>
      <c r="J26" s="10" t="n">
        <v>4259.28</v>
      </c>
      <c r="K26" s="10" t="n">
        <v>5590.95</v>
      </c>
      <c r="L26" s="10" t="n">
        <v>11111.45</v>
      </c>
      <c r="M26" s="10" t="n">
        <v>17908.43</v>
      </c>
      <c r="N26" s="10" t="n">
        <v>22593.58</v>
      </c>
      <c r="O26" s="10" t="n">
        <v>23424.3</v>
      </c>
      <c r="P26" s="10" t="n">
        <v>22617.45</v>
      </c>
      <c r="Q26" s="10" t="n">
        <v>24235.48</v>
      </c>
    </row>
    <row r="27">
      <c r="A27" s="8" t="inlineStr">
        <is>
          <t>Cash &amp; cash equivalents</t>
        </is>
      </c>
      <c r="B27" s="9" t="n">
        <v>13655.89</v>
      </c>
      <c r="C27" s="9" t="n">
        <v>1634.94</v>
      </c>
      <c r="D27" s="9" t="n">
        <v>4041.32</v>
      </c>
      <c r="F27" s="10" t="n">
        <v>2548.25</v>
      </c>
      <c r="G27" s="10" t="n">
        <v>18108.09</v>
      </c>
      <c r="H27" s="10" t="n">
        <v>11473.84</v>
      </c>
      <c r="I27" s="10" t="n">
        <v>13655.89</v>
      </c>
      <c r="J27" s="10" t="n">
        <v>7224.74</v>
      </c>
      <c r="K27" s="10" t="n">
        <v>2600.62</v>
      </c>
      <c r="L27" s="10" t="n">
        <v>1345.96</v>
      </c>
      <c r="M27" s="10" t="n">
        <v>1634.94</v>
      </c>
      <c r="N27" s="10" t="n">
        <v>2710.95</v>
      </c>
      <c r="O27" s="10" t="n">
        <v>2446.35</v>
      </c>
      <c r="P27" s="10" t="n">
        <v>5646.72</v>
      </c>
      <c r="Q27" s="10" t="n">
        <v>4041.32</v>
      </c>
    </row>
    <row r="28">
      <c r="A28" s="11" t="inlineStr">
        <is>
          <t>Total assets</t>
        </is>
      </c>
      <c r="B28" s="12" t="n">
        <v>28982.68</v>
      </c>
      <c r="C28" s="12" t="n">
        <v>138001.29</v>
      </c>
      <c r="D28" s="12" t="n">
        <v>135101.07</v>
      </c>
      <c r="F28" s="12" t="n">
        <v>16339.78</v>
      </c>
      <c r="G28" s="12" t="n">
        <v>31382.88</v>
      </c>
      <c r="H28" s="12" t="n">
        <v>33006.75</v>
      </c>
      <c r="I28" s="12" t="n">
        <v>28982.68</v>
      </c>
      <c r="J28" s="12" t="n">
        <v>28785.68</v>
      </c>
      <c r="K28" s="12" t="n">
        <v>113150.54</v>
      </c>
      <c r="L28" s="12" t="n">
        <v>142752.98</v>
      </c>
      <c r="M28" s="12" t="n">
        <v>138001.29</v>
      </c>
      <c r="N28" s="12" t="n">
        <v>134656.45</v>
      </c>
      <c r="O28" s="12" t="n">
        <v>124477.88</v>
      </c>
      <c r="P28" s="12" t="n">
        <v>140623.92</v>
      </c>
      <c r="Q28" s="12" t="n">
        <v>135101.07</v>
      </c>
    </row>
    <row r="29">
      <c r="A29" s="8" t="inlineStr">
        <is>
          <t>Equity share capital</t>
        </is>
      </c>
      <c r="B29" s="9" t="n">
        <v>0</v>
      </c>
      <c r="C29" s="9" t="n">
        <v>12582.51</v>
      </c>
      <c r="D29" s="9" t="n">
        <v>12753.16</v>
      </c>
      <c r="F29" s="10" t="n">
        <v>0</v>
      </c>
      <c r="G29" s="10" t="n">
        <v>0</v>
      </c>
      <c r="H29" s="10" t="n">
        <v>0</v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12582.51</v>
      </c>
      <c r="N29" s="10" t="n">
        <v>12582.51</v>
      </c>
      <c r="O29" s="10" t="n">
        <v>12582.51</v>
      </c>
      <c r="P29" s="10" t="n">
        <v>12582.51</v>
      </c>
      <c r="Q29" s="10" t="n">
        <v>12753.16</v>
      </c>
    </row>
    <row r="30">
      <c r="A30" s="8" t="inlineStr">
        <is>
          <t>Instruments entirely equity in nature</t>
        </is>
      </c>
      <c r="B30" s="9" t="n">
        <v>0</v>
      </c>
      <c r="C30" s="9" t="n">
        <v>63105.89</v>
      </c>
      <c r="D30" s="9" t="n">
        <v>69713.64999999999</v>
      </c>
      <c r="F30" s="10" t="n">
        <v>0</v>
      </c>
      <c r="G30" s="10" t="n">
        <v>0</v>
      </c>
      <c r="H30" s="10" t="n">
        <v>0</v>
      </c>
      <c r="I30" s="10" t="n">
        <v>0</v>
      </c>
      <c r="J30" s="10" t="n">
        <v>0</v>
      </c>
      <c r="K30" s="10" t="n">
        <v>0.7</v>
      </c>
      <c r="L30" s="10" t="n">
        <v>9.949999999999999</v>
      </c>
      <c r="M30" s="10" t="n">
        <v>63105.89</v>
      </c>
      <c r="N30" s="10" t="n">
        <v>63105.89</v>
      </c>
      <c r="O30" s="10" t="n">
        <v>63105.89</v>
      </c>
      <c r="P30" s="10" t="n">
        <v>69894.31</v>
      </c>
      <c r="Q30" s="10" t="n">
        <v>69713.64999999999</v>
      </c>
    </row>
    <row r="31">
      <c r="A31" s="8" t="inlineStr">
        <is>
          <t>Share suspense account</t>
        </is>
      </c>
      <c r="B31" s="9" t="n">
        <v>56681.42</v>
      </c>
      <c r="C31" s="9" t="n">
        <v>0</v>
      </c>
      <c r="D31" s="9" t="n">
        <v>0</v>
      </c>
      <c r="F31" s="10" t="n">
        <v>46838.19</v>
      </c>
      <c r="G31" s="10" t="n">
        <v>54961.74</v>
      </c>
      <c r="H31" s="10" t="n">
        <v>56681.42</v>
      </c>
      <c r="I31" s="10" t="n">
        <v>56681.42</v>
      </c>
      <c r="J31" s="10" t="n">
        <v>56681.42</v>
      </c>
      <c r="K31" s="10" t="n">
        <v>75498.13</v>
      </c>
      <c r="L31" s="10" t="n">
        <v>75498.13</v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</row>
    <row r="32">
      <c r="A32" s="8" t="inlineStr">
        <is>
          <t>Other equity</t>
        </is>
      </c>
      <c r="B32" s="9" t="n">
        <v>-39509.48</v>
      </c>
      <c r="C32" s="9" t="n">
        <v>10172.91</v>
      </c>
      <c r="D32" s="9" t="n">
        <v>-22487.94</v>
      </c>
      <c r="F32" s="10" t="n">
        <v>-40142.37</v>
      </c>
      <c r="G32" s="10" t="n">
        <v>-34655.14</v>
      </c>
      <c r="H32" s="10" t="n">
        <v>-36042.96</v>
      </c>
      <c r="I32" s="10" t="n">
        <v>-39509.48</v>
      </c>
      <c r="J32" s="10" t="n">
        <v>-42611.86</v>
      </c>
      <c r="K32" s="10" t="n">
        <v>13504.06</v>
      </c>
      <c r="L32" s="10" t="n">
        <v>27529.05</v>
      </c>
      <c r="M32" s="10" t="n">
        <v>10172.91</v>
      </c>
      <c r="N32" s="10" t="n">
        <v>431.94</v>
      </c>
      <c r="O32" s="10" t="n">
        <v>-14706.49</v>
      </c>
      <c r="P32" s="10" t="n">
        <v>-9409.959999999999</v>
      </c>
      <c r="Q32" s="10" t="n">
        <v>-22487.94</v>
      </c>
    </row>
    <row r="33">
      <c r="A33" s="11" t="inlineStr">
        <is>
          <t>Total equity</t>
        </is>
      </c>
      <c r="B33" s="12" t="n">
        <v>17171.94</v>
      </c>
      <c r="C33" s="12" t="n">
        <v>85861.31</v>
      </c>
      <c r="D33" s="12" t="n">
        <v>59978.87</v>
      </c>
      <c r="F33" s="12" t="n">
        <v>6695.82</v>
      </c>
      <c r="G33" s="12" t="n">
        <v>20306.6</v>
      </c>
      <c r="H33" s="12" t="n">
        <v>20638.46</v>
      </c>
      <c r="I33" s="12" t="n">
        <v>17171.94</v>
      </c>
      <c r="J33" s="12" t="n">
        <v>14069.56</v>
      </c>
      <c r="K33" s="12" t="n">
        <v>89002.89</v>
      </c>
      <c r="L33" s="12" t="n">
        <v>103037.13</v>
      </c>
      <c r="M33" s="12" t="n">
        <v>85861.31</v>
      </c>
      <c r="N33" s="12" t="n">
        <v>76120.34</v>
      </c>
      <c r="O33" s="12" t="n">
        <v>60981.91</v>
      </c>
      <c r="P33" s="12" t="n">
        <v>73066.86</v>
      </c>
      <c r="Q33" s="12" t="n">
        <v>59978.87</v>
      </c>
    </row>
    <row r="34">
      <c r="A34" s="8" t="inlineStr">
        <is>
          <t>Lease liabilities (non-current)</t>
        </is>
      </c>
      <c r="B34" s="9" t="n">
        <v>2691.34</v>
      </c>
      <c r="C34" s="9" t="n">
        <v>18354.26</v>
      </c>
      <c r="D34" s="9" t="n">
        <v>21671.92</v>
      </c>
      <c r="F34" s="10" t="n">
        <v>1905.97</v>
      </c>
      <c r="G34" s="10" t="n">
        <v>2314.57</v>
      </c>
      <c r="H34" s="10" t="n">
        <v>2688.3</v>
      </c>
      <c r="I34" s="10" t="n">
        <v>2691.34</v>
      </c>
      <c r="J34" s="10" t="n">
        <v>3829.82</v>
      </c>
      <c r="K34" s="10" t="n">
        <v>8446.27</v>
      </c>
      <c r="L34" s="10" t="n">
        <v>15901.46</v>
      </c>
      <c r="M34" s="10" t="n">
        <v>18354.26</v>
      </c>
      <c r="N34" s="10" t="n">
        <v>21074.78</v>
      </c>
      <c r="O34" s="10" t="n">
        <v>21808.81</v>
      </c>
      <c r="P34" s="10" t="n">
        <v>21521.45</v>
      </c>
      <c r="Q34" s="10" t="n">
        <v>21671.92</v>
      </c>
    </row>
    <row r="35">
      <c r="A35" s="8" t="inlineStr">
        <is>
          <t>Lease liabilities (current)</t>
        </is>
      </c>
      <c r="B35" s="9" t="n">
        <v>729.8</v>
      </c>
      <c r="C35" s="9" t="n">
        <v>3524.22</v>
      </c>
      <c r="D35" s="9" t="n">
        <v>5429.08</v>
      </c>
      <c r="F35" s="10" t="n">
        <v>464.63</v>
      </c>
      <c r="G35" s="10" t="n">
        <v>575.33</v>
      </c>
      <c r="H35" s="10" t="n">
        <v>674.9400000000001</v>
      </c>
      <c r="I35" s="10" t="n">
        <v>729.8</v>
      </c>
      <c r="J35" s="10" t="n">
        <v>1167.07</v>
      </c>
      <c r="K35" s="10" t="n">
        <v>1867.19</v>
      </c>
      <c r="L35" s="10" t="n">
        <v>2950.28</v>
      </c>
      <c r="M35" s="10" t="n">
        <v>3524.22</v>
      </c>
      <c r="N35" s="10" t="n">
        <v>4421.74</v>
      </c>
      <c r="O35" s="10" t="n">
        <v>4798.73</v>
      </c>
      <c r="P35" s="10" t="n">
        <v>5045.37</v>
      </c>
      <c r="Q35" s="10" t="n">
        <v>5429.08</v>
      </c>
    </row>
    <row r="36">
      <c r="A36" s="8" t="inlineStr">
        <is>
          <t>Trade payables - micro &amp; small</t>
        </is>
      </c>
      <c r="B36" s="9" t="n">
        <v>755.36</v>
      </c>
      <c r="C36" s="9" t="n">
        <v>4682.08</v>
      </c>
      <c r="D36" s="9" t="n">
        <v>5626.35</v>
      </c>
      <c r="F36" s="10" t="n">
        <v>601.49</v>
      </c>
      <c r="G36" s="10" t="n">
        <v>831.3099999999999</v>
      </c>
      <c r="H36" s="10" t="n">
        <v>827.5</v>
      </c>
      <c r="I36" s="10" t="n">
        <v>755.36</v>
      </c>
      <c r="J36" s="10" t="n">
        <v>1158.42</v>
      </c>
      <c r="K36" s="10" t="n">
        <v>1883.89</v>
      </c>
      <c r="L36" s="10" t="n">
        <v>3051.24</v>
      </c>
      <c r="M36" s="10" t="n">
        <v>4682.08</v>
      </c>
      <c r="N36" s="10" t="n">
        <v>3858.34</v>
      </c>
      <c r="O36" s="10" t="n">
        <v>4002.93</v>
      </c>
      <c r="P36" s="10" t="n">
        <v>4533.37</v>
      </c>
      <c r="Q36" s="10" t="n">
        <v>5626.35</v>
      </c>
    </row>
    <row r="37">
      <c r="A37" s="8" t="inlineStr">
        <is>
          <t>Trade payables - others</t>
        </is>
      </c>
      <c r="B37" s="9" t="n">
        <v>5059.65</v>
      </c>
      <c r="C37" s="9" t="n">
        <v>18585.74</v>
      </c>
      <c r="D37" s="9" t="n">
        <v>31621.51</v>
      </c>
      <c r="F37" s="10" t="n">
        <v>3789.09</v>
      </c>
      <c r="G37" s="10" t="n">
        <v>4419.13</v>
      </c>
      <c r="H37" s="10" t="n">
        <v>4722.95</v>
      </c>
      <c r="I37" s="10" t="n">
        <v>5059.65</v>
      </c>
      <c r="J37" s="10" t="n">
        <v>6061.38</v>
      </c>
      <c r="K37" s="10" t="n">
        <v>9296.129999999999</v>
      </c>
      <c r="L37" s="10" t="n">
        <v>14706.81</v>
      </c>
      <c r="M37" s="10" t="n">
        <v>18585.74</v>
      </c>
      <c r="N37" s="10" t="n">
        <v>22695.1</v>
      </c>
      <c r="O37" s="10" t="n">
        <v>27500.3</v>
      </c>
      <c r="P37" s="10" t="n">
        <v>28140.63</v>
      </c>
      <c r="Q37" s="10" t="n">
        <v>31621.51</v>
      </c>
    </row>
    <row r="38">
      <c r="A38" s="11" t="inlineStr">
        <is>
          <t>Total liabilities</t>
        </is>
      </c>
      <c r="B38" s="12" t="n">
        <v>11810.74</v>
      </c>
      <c r="C38" s="12" t="n">
        <v>52139.98</v>
      </c>
      <c r="D38" s="12" t="n">
        <v>75122.2</v>
      </c>
      <c r="F38" s="12" t="n">
        <v>9643.959999999999</v>
      </c>
      <c r="G38" s="12" t="n">
        <v>11076.28</v>
      </c>
      <c r="H38" s="12" t="n">
        <v>12368.29</v>
      </c>
      <c r="I38" s="12" t="n">
        <v>11810.74</v>
      </c>
      <c r="J38" s="12" t="n">
        <v>14716.12</v>
      </c>
      <c r="K38" s="12" t="n">
        <v>24147.65</v>
      </c>
      <c r="L38" s="12" t="n">
        <v>39715.85</v>
      </c>
      <c r="M38" s="12" t="n">
        <v>52139.98</v>
      </c>
      <c r="N38" s="12" t="n">
        <v>58536.11</v>
      </c>
      <c r="O38" s="12" t="n">
        <v>63495.97</v>
      </c>
      <c r="P38" s="12" t="n">
        <v>67557.06</v>
      </c>
      <c r="Q38" s="12" t="n">
        <v>75122.2</v>
      </c>
    </row>
    <row r="39">
      <c r="A39" s="7" t="inlineStr">
        <is>
          <t>CASH FLOW</t>
        </is>
      </c>
    </row>
    <row r="40">
      <c r="A40" s="11" t="inlineStr">
        <is>
          <t>Net cash (used in) operating activities</t>
        </is>
      </c>
      <c r="B40" s="12" t="n">
        <v>-10978.8</v>
      </c>
      <c r="C40" s="12" t="n">
        <v>-46248.34</v>
      </c>
      <c r="D40" s="12" t="n">
        <v>-34624.42</v>
      </c>
      <c r="F40" s="12" t="n">
        <v>-2213.39</v>
      </c>
      <c r="G40" s="12" t="n">
        <v>-2060.11</v>
      </c>
      <c r="H40" s="12" t="n">
        <v>-3455.66</v>
      </c>
      <c r="I40" s="12" t="n">
        <v>-3249.64</v>
      </c>
      <c r="J40" s="12" t="n">
        <v>-2928.72</v>
      </c>
      <c r="K40" s="12" t="n">
        <v>-7406.65</v>
      </c>
      <c r="L40" s="12" t="n">
        <v>-16001.14</v>
      </c>
      <c r="M40" s="12" t="n">
        <v>-19911.83</v>
      </c>
      <c r="N40" s="12" t="n">
        <v>-7789.46</v>
      </c>
      <c r="O40" s="12" t="n">
        <v>-11345.96</v>
      </c>
      <c r="P40" s="12" t="n">
        <v>-8640.129999999999</v>
      </c>
      <c r="Q40" s="12" t="n">
        <v>-6848.87</v>
      </c>
    </row>
    <row r="41">
      <c r="A41" s="11" t="inlineStr">
        <is>
          <t>Net cash from/(used in) investing activities</t>
        </is>
      </c>
      <c r="B41" s="12" t="n">
        <v>3488.86</v>
      </c>
      <c r="C41" s="12" t="n">
        <v>-73618.12</v>
      </c>
      <c r="D41" s="12" t="n">
        <v>18078.67</v>
      </c>
      <c r="F41" s="12" t="n">
        <v>1615.92</v>
      </c>
      <c r="G41" s="12" t="n">
        <v>1952.09</v>
      </c>
      <c r="H41" s="12" t="n">
        <v>-6712.87</v>
      </c>
      <c r="I41" s="12" t="n">
        <v>6633.72</v>
      </c>
      <c r="J41" s="12" t="n">
        <v>-2802.69</v>
      </c>
      <c r="K41" s="12" t="n">
        <v>-79455.53</v>
      </c>
      <c r="L41" s="12" t="n">
        <v>-12843.55</v>
      </c>
      <c r="M41" s="12" t="n">
        <v>21483.65</v>
      </c>
      <c r="N41" s="12" t="n">
        <v>10397.62</v>
      </c>
      <c r="O41" s="12" t="n">
        <v>12748.84</v>
      </c>
      <c r="P41" s="12" t="n">
        <v>-12119.97</v>
      </c>
      <c r="Q41" s="12" t="n">
        <v>7052.18</v>
      </c>
    </row>
    <row r="42">
      <c r="A42" s="11" t="inlineStr">
        <is>
          <t>Net cash from/(used in) financing activities</t>
        </is>
      </c>
      <c r="B42" s="12" t="n">
        <v>18603.71</v>
      </c>
      <c r="C42" s="12" t="n">
        <v>107845.51</v>
      </c>
      <c r="D42" s="12" t="n">
        <v>18952.13</v>
      </c>
      <c r="F42" s="12" t="n">
        <v>603.6</v>
      </c>
      <c r="G42" s="12" t="n">
        <v>15667.86</v>
      </c>
      <c r="H42" s="12" t="n">
        <v>3534.27</v>
      </c>
      <c r="I42" s="12" t="n">
        <v>-1202.02</v>
      </c>
      <c r="J42" s="12" t="n">
        <v>-699.74</v>
      </c>
      <c r="K42" s="12" t="n">
        <v>82238.06</v>
      </c>
      <c r="L42" s="12" t="n">
        <v>27590.03</v>
      </c>
      <c r="M42" s="12" t="n">
        <v>-1282.84</v>
      </c>
      <c r="N42" s="12" t="n">
        <v>-1532.15</v>
      </c>
      <c r="O42" s="12" t="n">
        <v>-1667.48</v>
      </c>
      <c r="P42" s="12" t="n">
        <v>23960.47</v>
      </c>
      <c r="Q42" s="12" t="n">
        <v>-1808.71</v>
      </c>
    </row>
    <row r="43">
      <c r="A43" s="11" t="inlineStr">
        <is>
          <t>Net increase/(decrease) in cash</t>
        </is>
      </c>
      <c r="B43" s="12" t="n">
        <v>11113.77</v>
      </c>
      <c r="C43" s="12" t="n">
        <v>-12020.95</v>
      </c>
      <c r="D43" s="12" t="n">
        <v>2406.380000000001</v>
      </c>
      <c r="F43" s="12" t="n">
        <v>6.130000000000223</v>
      </c>
      <c r="G43" s="12" t="n">
        <v>15559.84</v>
      </c>
      <c r="H43" s="12" t="n">
        <v>-6634.259999999998</v>
      </c>
      <c r="I43" s="12" t="n">
        <v>2182.06</v>
      </c>
      <c r="J43" s="12" t="n">
        <v>-6431.15</v>
      </c>
      <c r="K43" s="12" t="n">
        <v>-4624.119999999995</v>
      </c>
      <c r="L43" s="12" t="n">
        <v>-1254.66</v>
      </c>
      <c r="M43" s="12" t="n">
        <v>288.9799999999998</v>
      </c>
      <c r="N43" s="12" t="n">
        <v>1076.010000000001</v>
      </c>
      <c r="O43" s="12" t="n">
        <v>-264.599999999999</v>
      </c>
      <c r="P43" s="12" t="n">
        <v>3200.370000000003</v>
      </c>
      <c r="Q43" s="12" t="n">
        <v>-1605.4</v>
      </c>
    </row>
    <row r="44">
      <c r="A44" s="8" t="inlineStr">
        <is>
          <t>Cash &amp; equivalents at period end</t>
        </is>
      </c>
      <c r="B44" s="9" t="n">
        <v>13655.89</v>
      </c>
      <c r="C44" s="9" t="n">
        <v>1634.94</v>
      </c>
      <c r="D44" s="9" t="n">
        <v>4041.32</v>
      </c>
      <c r="F44" s="10" t="n">
        <v>2548.25</v>
      </c>
      <c r="G44" s="10" t="n">
        <v>18108.09</v>
      </c>
      <c r="H44" s="10" t="n">
        <v>11473.84</v>
      </c>
      <c r="I44" s="10" t="n">
        <v>13655.89</v>
      </c>
      <c r="J44" s="10" t="n">
        <v>7224.74</v>
      </c>
      <c r="K44" s="10" t="n">
        <v>2600.62</v>
      </c>
      <c r="L44" s="10" t="n">
        <v>1345.96</v>
      </c>
      <c r="M44" s="10" t="n">
        <v>1634.94</v>
      </c>
      <c r="N44" s="10" t="n">
        <v>2710.95</v>
      </c>
      <c r="O44" s="10" t="n">
        <v>2446.35</v>
      </c>
      <c r="P44" s="10" t="n">
        <v>5646.72</v>
      </c>
      <c r="Q44" s="10" t="n">
        <v>4041.32</v>
      </c>
    </row>
    <row r="45">
      <c r="A45" s="8" t="inlineStr">
        <is>
          <t>Capital expenditure (purchase of PP&amp;E)</t>
        </is>
      </c>
      <c r="B45" s="9" t="n">
        <v>1226.63</v>
      </c>
      <c r="C45" s="9" t="n">
        <v>8811.190000000001</v>
      </c>
      <c r="D45" s="9" t="n">
        <v>6690.62</v>
      </c>
      <c r="F45" s="10" t="n">
        <v>185.26</v>
      </c>
      <c r="G45" s="10" t="n">
        <v>278.29</v>
      </c>
      <c r="H45" s="10" t="n">
        <v>335.86</v>
      </c>
      <c r="I45" s="10" t="n">
        <v>427.22</v>
      </c>
      <c r="J45" s="10" t="n">
        <v>261.49</v>
      </c>
      <c r="K45" s="10" t="n">
        <v>1921.07</v>
      </c>
      <c r="L45" s="10" t="n">
        <v>4198.56</v>
      </c>
      <c r="M45" s="10" t="n">
        <v>2430.07</v>
      </c>
      <c r="N45" s="10" t="n">
        <v>2248.11</v>
      </c>
      <c r="O45" s="10" t="n">
        <v>1868.77</v>
      </c>
      <c r="P45" s="10" t="n">
        <v>1369.99</v>
      </c>
      <c r="Q45" s="10" t="n">
        <v>1203.75</v>
      </c>
    </row>
    <row r="46">
      <c r="A46" s="7" t="inlineStr">
        <is>
          <t>MAJOR KPIs</t>
        </is>
      </c>
    </row>
    <row r="47">
      <c r="A47" s="8" t="inlineStr">
        <is>
          <t>Total Orders (million)</t>
        </is>
      </c>
      <c r="B47" s="13" t="n">
        <v>132.87</v>
      </c>
      <c r="C47" s="13" t="n">
        <v>332.11</v>
      </c>
      <c r="D47" s="13" t="n">
        <v>640.1799999999999</v>
      </c>
      <c r="F47" s="14" t="n">
        <v>25.45</v>
      </c>
      <c r="G47" s="14" t="n">
        <v>28.48</v>
      </c>
      <c r="H47" s="14" t="n">
        <v>33.79</v>
      </c>
      <c r="I47" s="14" t="n">
        <v>45.15</v>
      </c>
      <c r="J47" s="14" t="n">
        <v>51.23</v>
      </c>
      <c r="K47" s="14" t="n">
        <v>62.61</v>
      </c>
      <c r="L47" s="14" t="n">
        <v>94.64</v>
      </c>
      <c r="M47" s="14" t="n">
        <v>123.61</v>
      </c>
      <c r="N47" s="14" t="n">
        <v>128.8</v>
      </c>
      <c r="O47" s="14" t="n">
        <v>134.45</v>
      </c>
      <c r="P47" s="14" t="n">
        <v>166.91</v>
      </c>
      <c r="Q47" s="14" t="n">
        <v>210.01</v>
      </c>
    </row>
    <row r="48">
      <c r="A48" s="8" t="inlineStr">
        <is>
          <t>Orders per day (OPD)</t>
        </is>
      </c>
      <c r="B48" s="9" t="n">
        <v>363033</v>
      </c>
      <c r="C48" s="9" t="n">
        <v>909881</v>
      </c>
      <c r="D48" s="9" t="n">
        <v>1753915</v>
      </c>
      <c r="F48" s="10" t="n">
        <v>279649</v>
      </c>
      <c r="G48" s="10" t="n">
        <v>309539</v>
      </c>
      <c r="H48" s="10" t="n">
        <v>367330</v>
      </c>
      <c r="I48" s="10" t="n">
        <v>496154</v>
      </c>
      <c r="J48" s="10" t="n">
        <v>563012</v>
      </c>
      <c r="K48" s="10" t="n">
        <v>680597</v>
      </c>
      <c r="L48" s="10" t="n">
        <v>1028738</v>
      </c>
      <c r="M48" s="10" t="n">
        <v>1373487</v>
      </c>
      <c r="N48" s="10" t="n">
        <v>1415365</v>
      </c>
      <c r="O48" s="10" t="n">
        <v>1461439</v>
      </c>
      <c r="P48" s="10" t="n">
        <v>1814288</v>
      </c>
      <c r="Q48" s="10" t="n">
        <v>2333488</v>
      </c>
    </row>
    <row r="49">
      <c r="A49" s="8" t="inlineStr">
        <is>
          <t>OPD per dark store</t>
        </is>
      </c>
      <c r="B49" s="9" t="n">
        <v>1325</v>
      </c>
      <c r="C49" s="9" t="n">
        <v>1565</v>
      </c>
      <c r="D49" s="9" t="n">
        <v>1677</v>
      </c>
      <c r="F49" s="10" t="n">
        <v>1279</v>
      </c>
      <c r="G49" s="10" t="n">
        <v>1246</v>
      </c>
      <c r="H49" s="10" t="n">
        <v>1243</v>
      </c>
      <c r="I49" s="10" t="n">
        <v>1488</v>
      </c>
      <c r="J49" s="10" t="n">
        <v>1648</v>
      </c>
      <c r="K49" s="10" t="n">
        <v>1735</v>
      </c>
      <c r="L49" s="10" t="n">
        <v>1625</v>
      </c>
      <c r="M49" s="10" t="n">
        <v>1425</v>
      </c>
      <c r="N49" s="10" t="n">
        <v>1388</v>
      </c>
      <c r="O49" s="10" t="n">
        <v>1433</v>
      </c>
      <c r="P49" s="10" t="n">
        <v>1722</v>
      </c>
      <c r="Q49" s="10" t="n">
        <v>2140</v>
      </c>
    </row>
    <row r="50">
      <c r="A50" s="8" t="inlineStr">
        <is>
          <t>Closing count of dark stores</t>
        </is>
      </c>
      <c r="B50" s="9" t="n">
        <v>337</v>
      </c>
      <c r="C50" s="9" t="n">
        <v>1029</v>
      </c>
      <c r="D50" s="9" t="n">
        <v>1139</v>
      </c>
      <c r="F50" s="10" t="n">
        <v>231</v>
      </c>
      <c r="G50" s="10" t="n">
        <v>271</v>
      </c>
      <c r="H50" s="10" t="n">
        <v>321</v>
      </c>
      <c r="I50" s="10" t="n">
        <v>337</v>
      </c>
      <c r="J50" s="10" t="n">
        <v>356</v>
      </c>
      <c r="K50" s="10" t="n">
        <v>497</v>
      </c>
      <c r="L50" s="10" t="n">
        <v>872</v>
      </c>
      <c r="M50" s="10" t="n">
        <v>1029</v>
      </c>
      <c r="N50" s="10" t="n">
        <v>1024</v>
      </c>
      <c r="O50" s="10" t="n">
        <v>1046</v>
      </c>
      <c r="P50" s="10" t="n">
        <v>1065</v>
      </c>
      <c r="Q50" s="10" t="n">
        <v>1139</v>
      </c>
    </row>
    <row r="51">
      <c r="A51" s="8" t="inlineStr">
        <is>
          <t>Net Receivables Value (NRV)</t>
        </is>
      </c>
      <c r="B51" s="9" t="n">
        <v>52317.04</v>
      </c>
      <c r="C51" s="9" t="n">
        <v>127037.29</v>
      </c>
      <c r="D51" s="9" t="n">
        <v>248155.39</v>
      </c>
      <c r="F51" s="10" t="n">
        <v>10172.57</v>
      </c>
      <c r="G51" s="10" t="n">
        <v>11521.27</v>
      </c>
      <c r="H51" s="10" t="n">
        <v>13355.82</v>
      </c>
      <c r="I51" s="10" t="n">
        <v>17267.38</v>
      </c>
      <c r="J51" s="10" t="n">
        <v>20137.3</v>
      </c>
      <c r="K51" s="10" t="n">
        <v>24596.76</v>
      </c>
      <c r="L51" s="10" t="n">
        <v>35276.64</v>
      </c>
      <c r="M51" s="10" t="n">
        <v>47026.59</v>
      </c>
      <c r="N51" s="10" t="n">
        <v>51712.78</v>
      </c>
      <c r="O51" s="10" t="n">
        <v>51747.52</v>
      </c>
      <c r="P51" s="10" t="n">
        <v>63356.27</v>
      </c>
      <c r="Q51" s="10" t="n">
        <v>81338.82000000001</v>
      </c>
    </row>
    <row r="52">
      <c r="A52" s="8" t="inlineStr">
        <is>
          <t>Annual Transacting Users (million)</t>
        </is>
      </c>
      <c r="B52" s="13" t="n">
        <v>10.57</v>
      </c>
      <c r="C52" s="13" t="n">
        <v>38.38</v>
      </c>
      <c r="D52" s="13" t="n">
        <v>47.97</v>
      </c>
      <c r="F52" s="14" t="n">
        <v>5.98</v>
      </c>
      <c r="G52" s="14" t="n">
        <v>6.43</v>
      </c>
      <c r="H52" s="14" t="n">
        <v>7.97</v>
      </c>
      <c r="I52" s="14" t="n">
        <v>10.57</v>
      </c>
      <c r="J52" s="14" t="n">
        <v>12.51</v>
      </c>
      <c r="K52" s="14" t="n">
        <v>16.16</v>
      </c>
      <c r="L52" s="14" t="n">
        <v>25.5</v>
      </c>
      <c r="M52" s="14" t="n">
        <v>38.38</v>
      </c>
      <c r="N52" s="14" t="n">
        <v>43.66</v>
      </c>
      <c r="O52" s="14" t="n">
        <v>48.55</v>
      </c>
      <c r="P52" s="14" t="n">
        <v>49.54</v>
      </c>
      <c r="Q52" s="14" t="n">
        <v>47.97</v>
      </c>
    </row>
    <row r="53">
      <c r="A53" s="8" t="inlineStr">
        <is>
          <t>Advertisement revenue</t>
        </is>
      </c>
      <c r="B53" s="9" t="n">
        <v>491.72</v>
      </c>
      <c r="C53" s="9" t="n">
        <v>6512.41</v>
      </c>
      <c r="D53" s="9" t="n">
        <v>16357.26</v>
      </c>
      <c r="F53" s="10" t="n">
        <v>0</v>
      </c>
      <c r="G53" s="10" t="n">
        <v>0</v>
      </c>
      <c r="H53" s="10" t="n">
        <v>8.93</v>
      </c>
      <c r="I53" s="10" t="n">
        <v>482.79</v>
      </c>
      <c r="J53" s="10" t="n">
        <v>756.22</v>
      </c>
      <c r="K53" s="10" t="n">
        <v>862.74</v>
      </c>
      <c r="L53" s="10" t="n">
        <v>1924.07</v>
      </c>
      <c r="M53" s="10" t="n">
        <v>2969.38</v>
      </c>
      <c r="N53" s="10" t="n">
        <v>3733.23</v>
      </c>
      <c r="O53" s="10" t="n">
        <v>3089.96</v>
      </c>
      <c r="P53" s="10" t="n">
        <v>4104.39</v>
      </c>
      <c r="Q53" s="10" t="n">
        <v>5429.68</v>
      </c>
    </row>
    <row r="54">
      <c r="A54" s="8" t="inlineStr">
        <is>
          <t>Gross Profit % of NRV</t>
        </is>
      </c>
      <c r="B54" s="15" t="n">
        <v>0.1877</v>
      </c>
      <c r="C54" s="15" t="n">
        <v>0.128</v>
      </c>
      <c r="D54" s="15" t="n">
        <v>0.1856</v>
      </c>
      <c r="F54" s="16" t="n">
        <v>0.1522</v>
      </c>
      <c r="G54" s="16" t="n">
        <v>0.1857</v>
      </c>
      <c r="H54" s="16" t="n">
        <v>0.1921</v>
      </c>
      <c r="I54" s="16" t="n">
        <v>0.2065</v>
      </c>
      <c r="J54" s="16" t="n">
        <v>0.1883</v>
      </c>
      <c r="K54" s="16" t="n">
        <v>0.1351</v>
      </c>
      <c r="L54" s="16" t="n">
        <v>0.1112</v>
      </c>
      <c r="M54" s="16" t="n">
        <v>0.1111</v>
      </c>
      <c r="N54" s="16" t="n">
        <v>0.2145</v>
      </c>
      <c r="O54" s="16" t="n">
        <v>0.1839</v>
      </c>
      <c r="P54" s="16" t="n">
        <v>0.1751</v>
      </c>
      <c r="Q54" s="16" t="n">
        <v>0.1766</v>
      </c>
    </row>
    <row r="55">
      <c r="A55" s="8" t="inlineStr">
        <is>
          <t>Total Cost per Order (Rs)</t>
        </is>
      </c>
      <c r="B55" s="13" t="n">
        <v>158.55</v>
      </c>
      <c r="C55" s="13" t="n">
        <v>185.11</v>
      </c>
      <c r="D55" s="13" t="n">
        <v>150.71</v>
      </c>
      <c r="F55" s="14" t="n">
        <v>156.69</v>
      </c>
      <c r="G55" s="14" t="n">
        <v>156.98</v>
      </c>
      <c r="H55" s="14" t="n">
        <v>167.4</v>
      </c>
      <c r="I55" s="14" t="n">
        <v>153.96</v>
      </c>
      <c r="J55" s="14" t="n">
        <v>135.67</v>
      </c>
      <c r="K55" s="14" t="n">
        <v>184.34</v>
      </c>
      <c r="L55" s="14" t="n">
        <v>212.62</v>
      </c>
      <c r="M55" s="14" t="n">
        <v>184.93</v>
      </c>
      <c r="N55" s="14" t="n">
        <v>164.47</v>
      </c>
      <c r="O55" s="14" t="n">
        <v>180.56</v>
      </c>
      <c r="P55" s="14" t="n">
        <v>144.87</v>
      </c>
      <c r="Q55" s="14" t="n">
        <v>127.79</v>
      </c>
    </row>
    <row r="56">
      <c r="A56" s="11" t="inlineStr">
        <is>
          <t>Adjusted EBITDA</t>
        </is>
      </c>
      <c r="B56" s="12" t="n">
        <v>-11245.87</v>
      </c>
      <c r="C56" s="12" t="n">
        <v>-45216.91</v>
      </c>
      <c r="D56" s="12" t="n">
        <v>-50415.54</v>
      </c>
      <c r="F56" s="12" t="n">
        <v>-2438.88</v>
      </c>
      <c r="G56" s="12" t="n">
        <v>-2330.33</v>
      </c>
      <c r="H56" s="12" t="n">
        <v>-3091.25</v>
      </c>
      <c r="I56" s="12" t="n">
        <v>-3385.41</v>
      </c>
      <c r="J56" s="12" t="n">
        <v>-3160.06</v>
      </c>
      <c r="K56" s="12" t="n">
        <v>-8218.799999999999</v>
      </c>
      <c r="L56" s="12" t="n">
        <v>-16200.35</v>
      </c>
      <c r="M56" s="12" t="n">
        <v>-17637.7</v>
      </c>
      <c r="N56" s="12" t="n">
        <v>-10090.86</v>
      </c>
      <c r="O56" s="12" t="n">
        <v>-14762.51</v>
      </c>
      <c r="P56" s="12" t="n">
        <v>-13086.84</v>
      </c>
      <c r="Q56" s="12" t="n">
        <v>-12475.33</v>
      </c>
    </row>
    <row r="57">
      <c r="A57" s="8" t="inlineStr">
        <is>
          <t>Adjusted EBITDA per Order (Rs)</t>
        </is>
      </c>
      <c r="B57" s="13" t="n">
        <v>-84.64</v>
      </c>
      <c r="C57" s="13" t="n">
        <v>-136.15</v>
      </c>
      <c r="D57" s="13" t="n">
        <v>-78.75</v>
      </c>
      <c r="F57" s="14" t="n">
        <v>-95.84</v>
      </c>
      <c r="G57" s="14" t="n">
        <v>-81.83</v>
      </c>
      <c r="H57" s="14" t="n">
        <v>-91.47</v>
      </c>
      <c r="I57" s="14" t="n">
        <v>-74.98</v>
      </c>
      <c r="J57" s="14" t="n">
        <v>-61.68</v>
      </c>
      <c r="K57" s="14" t="n">
        <v>-131.26</v>
      </c>
      <c r="L57" s="14" t="n">
        <v>-171.17</v>
      </c>
      <c r="M57" s="14" t="n">
        <v>-142.68</v>
      </c>
      <c r="N57" s="14" t="n">
        <v>-78.34999999999999</v>
      </c>
      <c r="O57" s="14" t="n">
        <v>-109.8</v>
      </c>
      <c r="P57" s="14" t="n">
        <v>-78.40000000000001</v>
      </c>
      <c r="Q57" s="14" t="n">
        <v>-59.4</v>
      </c>
    </row>
    <row r="58">
      <c r="A58" s="8" t="inlineStr">
        <is>
          <t>Adjusted EBITDA % (of NRV)</t>
        </is>
      </c>
      <c r="B58" s="15" t="n">
        <v>-0.215</v>
      </c>
      <c r="C58" s="15" t="n">
        <v>-0.3559</v>
      </c>
      <c r="D58" s="15" t="n">
        <v>-0.2032</v>
      </c>
      <c r="F58" s="16" t="n">
        <v>-0.2398</v>
      </c>
      <c r="G58" s="16" t="n">
        <v>-0.2023</v>
      </c>
      <c r="H58" s="16" t="n">
        <v>-0.2315</v>
      </c>
      <c r="I58" s="16" t="n">
        <v>-0.1961</v>
      </c>
      <c r="J58" s="16" t="n">
        <v>-0.1569</v>
      </c>
      <c r="K58" s="16" t="n">
        <v>-0.3341</v>
      </c>
      <c r="L58" s="16" t="n">
        <v>-0.4592</v>
      </c>
      <c r="M58" s="16" t="n">
        <v>-0.3751</v>
      </c>
      <c r="N58" s="16" t="n">
        <v>-0.1951</v>
      </c>
      <c r="O58" s="16" t="n">
        <v>-0.2853</v>
      </c>
      <c r="P58" s="16" t="n">
        <v>-0.2066</v>
      </c>
      <c r="Q58" s="16" t="n">
        <v>-0.1534</v>
      </c>
    </row>
    <row r="59">
      <c r="A59" s="11" t="inlineStr">
        <is>
          <t>Free Cash Flow</t>
        </is>
      </c>
      <c r="B59" s="12" t="n">
        <v>-12413.83</v>
      </c>
      <c r="C59" s="12" t="n">
        <v>-53324.89</v>
      </c>
      <c r="D59" s="12" t="n">
        <v>-43295.42</v>
      </c>
      <c r="F59" s="12" t="n">
        <v>-2526.51</v>
      </c>
      <c r="G59" s="12" t="n">
        <v>-2430.16</v>
      </c>
      <c r="H59" s="12" t="n">
        <v>-3768.86</v>
      </c>
      <c r="I59" s="12" t="n">
        <v>-3688.3</v>
      </c>
      <c r="J59" s="12" t="n">
        <v>-3394.76</v>
      </c>
      <c r="K59" s="12" t="n">
        <v>-8712.370000000001</v>
      </c>
      <c r="L59" s="12" t="n">
        <v>-19388.59</v>
      </c>
      <c r="M59" s="12" t="n">
        <v>-21829.17</v>
      </c>
      <c r="N59" s="12" t="n">
        <v>-10037.66</v>
      </c>
      <c r="O59" s="12" t="n">
        <v>-13827.49</v>
      </c>
      <c r="P59" s="12" t="n">
        <v>-10608.04</v>
      </c>
      <c r="Q59" s="12" t="n">
        <v>-8822.23</v>
      </c>
    </row>
    <row r="60">
      <c r="A60" s="8" t="inlineStr">
        <is>
          <t>Free Cash Flow per Order (Rs)</t>
        </is>
      </c>
      <c r="B60" s="13" t="n">
        <v>-93.43000000000001</v>
      </c>
      <c r="C60" s="13" t="n">
        <v>-160.56</v>
      </c>
      <c r="D60" s="13" t="n">
        <v>-67.63</v>
      </c>
      <c r="F60" s="14" t="n">
        <v>-99.28</v>
      </c>
      <c r="G60" s="14" t="n">
        <v>-85.34</v>
      </c>
      <c r="H60" s="14" t="n">
        <v>-111.52</v>
      </c>
      <c r="I60" s="14" t="n">
        <v>-81.69</v>
      </c>
      <c r="J60" s="14" t="n">
        <v>-66.26000000000001</v>
      </c>
      <c r="K60" s="14" t="n">
        <v>-139.14</v>
      </c>
      <c r="L60" s="14" t="n">
        <v>-204.86</v>
      </c>
      <c r="M60" s="14" t="n">
        <v>-176.59</v>
      </c>
      <c r="N60" s="14" t="n">
        <v>-77.93000000000001</v>
      </c>
      <c r="O60" s="14" t="n">
        <v>-102.84</v>
      </c>
      <c r="P60" s="14" t="n">
        <v>-63.55</v>
      </c>
      <c r="Q60" s="14" t="n">
        <v>-42.01</v>
      </c>
    </row>
    <row r="61">
      <c r="A61" s="8" t="inlineStr">
        <is>
          <t>Cash position (closing cash incl. investments)</t>
        </is>
      </c>
      <c r="B61" s="9" t="n">
        <v>16882.61</v>
      </c>
      <c r="C61" s="9" t="n">
        <v>74407.72</v>
      </c>
      <c r="D61" s="9" t="n">
        <v>56805.27</v>
      </c>
      <c r="F61" s="10" t="n">
        <v>7954.09</v>
      </c>
      <c r="G61" s="10" t="n">
        <v>21433.17</v>
      </c>
      <c r="H61" s="10" t="n">
        <v>21473.95</v>
      </c>
      <c r="I61" s="10" t="n">
        <v>16882.61</v>
      </c>
      <c r="J61" s="10" t="n">
        <v>13213.14</v>
      </c>
      <c r="K61" s="10" t="n">
        <v>87239.37</v>
      </c>
      <c r="L61" s="10" t="n">
        <v>96264.89</v>
      </c>
      <c r="M61" s="10" t="n">
        <v>74407.72</v>
      </c>
      <c r="N61" s="10" t="n">
        <v>64370.06</v>
      </c>
      <c r="O61" s="10" t="n">
        <v>50542.59</v>
      </c>
      <c r="P61" s="10" t="n">
        <v>65627.50999999999</v>
      </c>
      <c r="Q61" s="10" t="n">
        <v>56805.27</v>
      </c>
    </row>
  </sheetData>
  <mergeCells count="8">
    <mergeCell ref="A6:Q6"/>
    <mergeCell ref="A21:Q21"/>
    <mergeCell ref="A39:Q39"/>
    <mergeCell ref="B4:D4"/>
    <mergeCell ref="A2:Q2"/>
    <mergeCell ref="A1:Q1"/>
    <mergeCell ref="A46:Q46"/>
    <mergeCell ref="F4:Q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7" t="inlineStr">
        <is>
          <t>Zepto — Restated Consolidated Quarterly Cash Flow Statement</t>
        </is>
      </c>
    </row>
    <row r="2">
      <c r="A2" s="2" t="inlineStr">
        <is>
          <t>Rs million. Source: UDRHP-I Annexure IV (quarterly). Oldest quarter Q1FY24 at left.</t>
        </is>
      </c>
    </row>
    <row r="4">
      <c r="A4" s="18" t="inlineStr">
        <is>
          <t>Particulars (Rs mn)</t>
        </is>
      </c>
      <c r="B4" s="6" t="inlineStr">
        <is>
          <t>Q1FY24</t>
        </is>
      </c>
      <c r="C4" s="6" t="inlineStr">
        <is>
          <t>Q2FY24</t>
        </is>
      </c>
      <c r="D4" s="6" t="inlineStr">
        <is>
          <t>Q3FY24</t>
        </is>
      </c>
      <c r="E4" s="6" t="inlineStr">
        <is>
          <t>Q4FY24</t>
        </is>
      </c>
      <c r="F4" s="6" t="inlineStr">
        <is>
          <t>Q1FY25</t>
        </is>
      </c>
      <c r="G4" s="6" t="inlineStr">
        <is>
          <t>Q2FY25</t>
        </is>
      </c>
      <c r="H4" s="6" t="inlineStr">
        <is>
          <t>Q3FY25</t>
        </is>
      </c>
      <c r="I4" s="6" t="inlineStr">
        <is>
          <t>Q4FY25</t>
        </is>
      </c>
      <c r="J4" s="6" t="inlineStr">
        <is>
          <t>Q1FY26</t>
        </is>
      </c>
      <c r="K4" s="6" t="inlineStr">
        <is>
          <t>Q2FY26</t>
        </is>
      </c>
      <c r="L4" s="6" t="inlineStr">
        <is>
          <t>Q3FY26</t>
        </is>
      </c>
      <c r="M4" s="6" t="inlineStr">
        <is>
          <t>Q4FY26</t>
        </is>
      </c>
    </row>
    <row r="5">
      <c r="A5" s="7" t="inlineStr">
        <is>
          <t>CASH FLOWS FROM OPERATING ACTIVITIES</t>
        </is>
      </c>
    </row>
    <row r="6">
      <c r="A6" s="19" t="inlineStr">
        <is>
          <t>Restated loss before tax</t>
        </is>
      </c>
      <c r="B6" s="20" t="n">
        <v>-2500.6</v>
      </c>
      <c r="C6" s="20" t="n">
        <v>-2548.68</v>
      </c>
      <c r="D6" s="20" t="n">
        <v>-3117.97</v>
      </c>
      <c r="E6" s="20" t="n">
        <v>-3903.17</v>
      </c>
      <c r="F6" s="20" t="n">
        <v>-3934.36</v>
      </c>
      <c r="G6" s="20" t="n">
        <v>-7976.83</v>
      </c>
      <c r="H6" s="20" t="n">
        <v>-16724.29</v>
      </c>
      <c r="I6" s="20" t="n">
        <v>-18318.85</v>
      </c>
      <c r="J6" s="20" t="n">
        <v>-10600.45</v>
      </c>
      <c r="K6" s="20" t="n">
        <v>-16176.26</v>
      </c>
      <c r="L6" s="20" t="n">
        <v>-16888.48</v>
      </c>
      <c r="M6" s="20" t="n">
        <v>-15386.73</v>
      </c>
    </row>
    <row r="7">
      <c r="A7" s="21" t="inlineStr">
        <is>
          <t>Adjustments to reconcile loss to cash: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</row>
    <row r="8">
      <c r="A8" s="23" t="inlineStr">
        <is>
          <t xml:space="preserve">  Depreciation &amp; amortisation</t>
        </is>
      </c>
      <c r="B8" s="20" t="n">
        <v>215.69</v>
      </c>
      <c r="C8" s="20" t="n">
        <v>252.58</v>
      </c>
      <c r="D8" s="20" t="n">
        <v>302.57</v>
      </c>
      <c r="E8" s="20" t="n">
        <v>438.96</v>
      </c>
      <c r="F8" s="20" t="n">
        <v>495.48</v>
      </c>
      <c r="G8" s="20" t="n">
        <v>646.05</v>
      </c>
      <c r="H8" s="20" t="n">
        <v>1197.11</v>
      </c>
      <c r="I8" s="20" t="n">
        <v>1702.11</v>
      </c>
      <c r="J8" s="20" t="n">
        <v>1991.7</v>
      </c>
      <c r="K8" s="20" t="n">
        <v>2193.34</v>
      </c>
      <c r="L8" s="20" t="n">
        <v>2295.12</v>
      </c>
      <c r="M8" s="20" t="n">
        <v>2462.4</v>
      </c>
    </row>
    <row r="9">
      <c r="A9" s="23" t="inlineStr">
        <is>
          <t xml:space="preserve">  Interest income</t>
        </is>
      </c>
      <c r="B9" s="20" t="n">
        <v>-89.14</v>
      </c>
      <c r="C9" s="20" t="n">
        <v>-139.76</v>
      </c>
      <c r="D9" s="20" t="n">
        <v>-270.7</v>
      </c>
      <c r="E9" s="20" t="n">
        <v>-241.84</v>
      </c>
      <c r="F9" s="20" t="n">
        <v>-170.38</v>
      </c>
      <c r="G9" s="20" t="n">
        <v>-803.09</v>
      </c>
      <c r="H9" s="20" t="n">
        <v>-1063.91</v>
      </c>
      <c r="I9" s="20" t="n">
        <v>-1207.9</v>
      </c>
      <c r="J9" s="20" t="n">
        <v>-1118.06</v>
      </c>
      <c r="K9" s="20" t="n">
        <v>-984.41</v>
      </c>
      <c r="L9" s="20" t="n">
        <v>-1021.4</v>
      </c>
      <c r="M9" s="20" t="n">
        <v>-935.37</v>
      </c>
    </row>
    <row r="10">
      <c r="A10" s="23" t="inlineStr">
        <is>
          <t xml:space="preserve">  Net foreign exchange differences (unrealised)</t>
        </is>
      </c>
      <c r="B10" s="20" t="n">
        <v>0</v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-0.42</v>
      </c>
      <c r="K10" s="20" t="n">
        <v>0.42</v>
      </c>
      <c r="L10" s="20" t="n">
        <v>0</v>
      </c>
      <c r="M10" s="20" t="n">
        <v>0</v>
      </c>
    </row>
    <row r="11">
      <c r="A11" s="23" t="inlineStr">
        <is>
          <t xml:space="preserve">  Interest on defined benefit obligation</t>
        </is>
      </c>
      <c r="B11" s="20" t="n">
        <v>0.6899999999999999</v>
      </c>
      <c r="C11" s="20" t="n">
        <v>0.6899999999999999</v>
      </c>
      <c r="D11" s="20" t="n">
        <v>0.6899999999999999</v>
      </c>
      <c r="E11" s="20" t="n">
        <v>0.7</v>
      </c>
      <c r="F11" s="20" t="n">
        <v>2.28</v>
      </c>
      <c r="G11" s="20" t="n">
        <v>2.28</v>
      </c>
      <c r="H11" s="20" t="n">
        <v>2.29</v>
      </c>
      <c r="I11" s="20" t="n">
        <v>2.28</v>
      </c>
      <c r="J11" s="20" t="n">
        <v>6.45</v>
      </c>
      <c r="K11" s="20" t="n">
        <v>6.45</v>
      </c>
      <c r="L11" s="20" t="n">
        <v>5.89</v>
      </c>
      <c r="M11" s="20" t="n">
        <v>6.35</v>
      </c>
    </row>
    <row r="12">
      <c r="A12" s="23" t="inlineStr">
        <is>
          <t xml:space="preserve">  Provision for gratuity (incl. exceptional)</t>
        </is>
      </c>
      <c r="B12" s="20" t="n">
        <v>11.29</v>
      </c>
      <c r="C12" s="20" t="n">
        <v>11.3</v>
      </c>
      <c r="D12" s="20" t="n">
        <v>11.3</v>
      </c>
      <c r="E12" s="20" t="n">
        <v>11.46</v>
      </c>
      <c r="F12" s="20" t="n">
        <v>21.61</v>
      </c>
      <c r="G12" s="20" t="n">
        <v>29.22</v>
      </c>
      <c r="H12" s="20" t="n">
        <v>25.4</v>
      </c>
      <c r="I12" s="20" t="n">
        <v>25.42</v>
      </c>
      <c r="J12" s="20" t="n">
        <v>84.98</v>
      </c>
      <c r="K12" s="20" t="n">
        <v>84.98999999999999</v>
      </c>
      <c r="L12" s="20" t="n">
        <v>25.09</v>
      </c>
      <c r="M12" s="20" t="n">
        <v>41.63</v>
      </c>
    </row>
    <row r="13">
      <c r="A13" s="23" t="inlineStr">
        <is>
          <t xml:space="preserve">  Compensated absences expense</t>
        </is>
      </c>
      <c r="B13" s="20" t="n">
        <v>41.03</v>
      </c>
      <c r="C13" s="20" t="n">
        <v>38.87</v>
      </c>
      <c r="D13" s="20" t="n">
        <v>19.52</v>
      </c>
      <c r="E13" s="20" t="n">
        <v>16.85</v>
      </c>
      <c r="F13" s="20" t="n">
        <v>53.24</v>
      </c>
      <c r="G13" s="20" t="n">
        <v>147.22</v>
      </c>
      <c r="H13" s="20" t="n">
        <v>-0.49</v>
      </c>
      <c r="I13" s="20" t="n">
        <v>107.18</v>
      </c>
      <c r="J13" s="20" t="n">
        <v>-194.82</v>
      </c>
      <c r="K13" s="20" t="n">
        <v>210.44</v>
      </c>
      <c r="L13" s="20" t="n">
        <v>-21.61</v>
      </c>
      <c r="M13" s="20" t="n">
        <v>-46.71</v>
      </c>
    </row>
    <row r="14">
      <c r="A14" s="23" t="inlineStr">
        <is>
          <t xml:space="preserve">  Provision for doubtful debts &amp; advances</t>
        </is>
      </c>
      <c r="B14" s="20" t="n">
        <v>0</v>
      </c>
      <c r="C14" s="20" t="n">
        <v>0</v>
      </c>
      <c r="D14" s="20" t="n">
        <v>0</v>
      </c>
      <c r="E14" s="20" t="n">
        <v>26.44</v>
      </c>
      <c r="F14" s="20" t="n">
        <v>9.470000000000001</v>
      </c>
      <c r="G14" s="20" t="n">
        <v>9.630000000000001</v>
      </c>
      <c r="H14" s="20" t="n">
        <v>-48.06</v>
      </c>
      <c r="I14" s="20" t="n">
        <v>83.94</v>
      </c>
      <c r="J14" s="20" t="n">
        <v>70.34</v>
      </c>
      <c r="K14" s="20" t="n">
        <v>20.62</v>
      </c>
      <c r="L14" s="20" t="n">
        <v>76.16</v>
      </c>
      <c r="M14" s="20" t="n">
        <v>-84.65000000000001</v>
      </c>
    </row>
    <row r="15">
      <c r="A15" s="23" t="inlineStr">
        <is>
          <t xml:space="preserve">  Gain on sale of mutual fund units (net)</t>
        </is>
      </c>
      <c r="B15" s="20" t="n">
        <v>-4.81</v>
      </c>
      <c r="C15" s="20" t="n">
        <v>-23.49</v>
      </c>
      <c r="D15" s="20" t="n">
        <v>-39.8</v>
      </c>
      <c r="E15" s="20" t="n">
        <v>-58</v>
      </c>
      <c r="F15" s="20" t="n">
        <v>-33.33</v>
      </c>
      <c r="G15" s="20" t="n">
        <v>-173.19</v>
      </c>
      <c r="H15" s="20" t="n">
        <v>-425.2</v>
      </c>
      <c r="I15" s="20" t="n">
        <v>-210.48</v>
      </c>
      <c r="J15" s="20" t="n">
        <v>-419.38</v>
      </c>
      <c r="K15" s="20" t="n">
        <v>-115.56</v>
      </c>
      <c r="L15" s="20" t="n">
        <v>-83.12</v>
      </c>
      <c r="M15" s="20" t="n">
        <v>-173.94</v>
      </c>
    </row>
    <row r="16">
      <c r="A16" s="23" t="inlineStr">
        <is>
          <t xml:space="preserve">  Fair value gain on MF units &amp; bonds</t>
        </is>
      </c>
      <c r="B16" s="20" t="n">
        <v>0</v>
      </c>
      <c r="C16" s="20" t="n">
        <v>0</v>
      </c>
      <c r="D16" s="20" t="n">
        <v>0</v>
      </c>
      <c r="E16" s="20" t="n">
        <v>0</v>
      </c>
      <c r="F16" s="20" t="n">
        <v>-27.86</v>
      </c>
      <c r="G16" s="20" t="n">
        <v>-167.88</v>
      </c>
      <c r="H16" s="20" t="n">
        <v>-202.71</v>
      </c>
      <c r="I16" s="20" t="n">
        <v>-378.59</v>
      </c>
      <c r="J16" s="20" t="n">
        <v>-26.95</v>
      </c>
      <c r="K16" s="20" t="n">
        <v>-0.26</v>
      </c>
      <c r="L16" s="20" t="n">
        <v>-53.46</v>
      </c>
      <c r="M16" s="20" t="n">
        <v>53.66</v>
      </c>
    </row>
    <row r="17">
      <c r="A17" s="23" t="inlineStr">
        <is>
          <t xml:space="preserve">  Gain on termination of lease contracts</t>
        </is>
      </c>
      <c r="B17" s="20" t="n">
        <v>-7.21</v>
      </c>
      <c r="C17" s="20" t="n">
        <v>-6.29</v>
      </c>
      <c r="D17" s="20" t="n">
        <v>-10.32</v>
      </c>
      <c r="E17" s="20" t="n">
        <v>-0.7</v>
      </c>
      <c r="F17" s="20" t="n">
        <v>-24.82</v>
      </c>
      <c r="G17" s="20" t="n">
        <v>-11.44</v>
      </c>
      <c r="H17" s="20" t="n">
        <v>-9.279999999999999</v>
      </c>
      <c r="I17" s="20" t="n">
        <v>-7.8</v>
      </c>
      <c r="J17" s="20" t="n">
        <v>-49.27</v>
      </c>
      <c r="K17" s="20" t="n">
        <v>-33.55</v>
      </c>
      <c r="L17" s="20" t="n">
        <v>-12.59</v>
      </c>
      <c r="M17" s="20" t="n">
        <v>-46.63</v>
      </c>
    </row>
    <row r="18">
      <c r="A18" s="23" t="inlineStr">
        <is>
          <t xml:space="preserve">  Interest on borrowings</t>
        </is>
      </c>
      <c r="B18" s="20" t="n">
        <v>50.79</v>
      </c>
      <c r="C18" s="20" t="n">
        <v>49.71</v>
      </c>
      <c r="D18" s="20" t="n">
        <v>43.42</v>
      </c>
      <c r="E18" s="20" t="n">
        <v>31.77</v>
      </c>
      <c r="F18" s="20" t="n">
        <v>42.78</v>
      </c>
      <c r="G18" s="20" t="n">
        <v>24.06</v>
      </c>
      <c r="H18" s="20" t="n">
        <v>19.5</v>
      </c>
      <c r="I18" s="20" t="n">
        <v>5.8</v>
      </c>
      <c r="J18" s="20" t="n">
        <v>0.07000000000000001</v>
      </c>
      <c r="K18" s="20" t="n">
        <v>0</v>
      </c>
      <c r="L18" s="20" t="n">
        <v>0.16</v>
      </c>
      <c r="M18" s="20" t="n">
        <v>0.41</v>
      </c>
    </row>
    <row r="19">
      <c r="A19" s="23" t="inlineStr">
        <is>
          <t xml:space="preserve">  Interest on lease liabilities</t>
        </is>
      </c>
      <c r="B19" s="20" t="n">
        <v>71.06999999999999</v>
      </c>
      <c r="C19" s="20" t="n">
        <v>85.06999999999999</v>
      </c>
      <c r="D19" s="20" t="n">
        <v>101.13</v>
      </c>
      <c r="E19" s="20" t="n">
        <v>109.44</v>
      </c>
      <c r="F19" s="20" t="n">
        <v>136.2</v>
      </c>
      <c r="G19" s="20" t="n">
        <v>206.94</v>
      </c>
      <c r="H19" s="20" t="n">
        <v>389.97</v>
      </c>
      <c r="I19" s="20" t="n">
        <v>539.0700000000001</v>
      </c>
      <c r="J19" s="20" t="n">
        <v>618.21</v>
      </c>
      <c r="K19" s="20" t="n">
        <v>667.27</v>
      </c>
      <c r="L19" s="20" t="n">
        <v>658.9299999999999</v>
      </c>
      <c r="M19" s="20" t="n">
        <v>646.61</v>
      </c>
    </row>
    <row r="20">
      <c r="A20" s="23" t="inlineStr">
        <is>
          <t xml:space="preserve">  Sundry assets written off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41.25</v>
      </c>
      <c r="G20" s="20" t="n">
        <v>6.52</v>
      </c>
      <c r="H20" s="20" t="n">
        <v>5</v>
      </c>
      <c r="I20" s="20" t="n">
        <v>10.27</v>
      </c>
      <c r="J20" s="20" t="n">
        <v>40.72</v>
      </c>
      <c r="K20" s="20" t="n">
        <v>82.15000000000001</v>
      </c>
      <c r="L20" s="20" t="n">
        <v>27.32</v>
      </c>
      <c r="M20" s="20" t="n">
        <v>182.58</v>
      </c>
    </row>
    <row r="21">
      <c r="A21" s="23" t="inlineStr">
        <is>
          <t xml:space="preserve">  Liability no longer required written back</t>
        </is>
      </c>
      <c r="B21" s="20" t="n">
        <v>0</v>
      </c>
      <c r="C21" s="20" t="n">
        <v>0</v>
      </c>
      <c r="D21" s="20" t="n">
        <v>0</v>
      </c>
      <c r="E21" s="20" t="n">
        <v>0</v>
      </c>
      <c r="F21" s="20" t="n">
        <v>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-4.07</v>
      </c>
      <c r="L21" s="20" t="n">
        <v>-0.04</v>
      </c>
      <c r="M21" s="20" t="n">
        <v>-16.55</v>
      </c>
    </row>
    <row r="22">
      <c r="A22" s="23" t="inlineStr">
        <is>
          <t xml:space="preserve">  Share based payment expense</t>
        </is>
      </c>
      <c r="B22" s="20" t="n">
        <v>-9.52</v>
      </c>
      <c r="C22" s="20" t="n">
        <v>175.56</v>
      </c>
      <c r="D22" s="20" t="n">
        <v>127.92</v>
      </c>
      <c r="E22" s="20" t="n">
        <v>461.38</v>
      </c>
      <c r="F22" s="20" t="n">
        <v>415.62</v>
      </c>
      <c r="G22" s="20" t="n">
        <v>141.16</v>
      </c>
      <c r="H22" s="20" t="n">
        <v>1411.47</v>
      </c>
      <c r="I22" s="20" t="n">
        <v>963.34</v>
      </c>
      <c r="J22" s="20" t="n">
        <v>799.4400000000001</v>
      </c>
      <c r="K22" s="20" t="n">
        <v>959.92</v>
      </c>
      <c r="L22" s="20" t="n">
        <v>1600.68</v>
      </c>
      <c r="M22" s="20" t="n">
        <v>2209.38</v>
      </c>
    </row>
    <row r="23">
      <c r="A23" s="23" t="inlineStr">
        <is>
          <t xml:space="preserve">  Fair value loss on financial instruments</t>
        </is>
      </c>
      <c r="B23" s="20" t="n">
        <v>0</v>
      </c>
      <c r="C23" s="20" t="n">
        <v>23.76</v>
      </c>
      <c r="D23" s="20" t="n">
        <v>0</v>
      </c>
      <c r="E23" s="20" t="n">
        <v>56.06</v>
      </c>
      <c r="F23" s="20" t="n">
        <v>0</v>
      </c>
      <c r="G23" s="20" t="n">
        <v>233.03</v>
      </c>
      <c r="H23" s="20" t="n">
        <v>32.21</v>
      </c>
      <c r="I23" s="20" t="n">
        <v>8.06</v>
      </c>
      <c r="J23" s="20" t="n">
        <v>0</v>
      </c>
      <c r="K23" s="20" t="n">
        <v>0</v>
      </c>
      <c r="L23" s="20" t="n">
        <v>1724.52</v>
      </c>
      <c r="M23" s="20" t="n">
        <v>0</v>
      </c>
    </row>
    <row r="24">
      <c r="A24" s="23" t="inlineStr">
        <is>
          <t xml:space="preserve">  Loss on sale of PP&amp;E</t>
        </is>
      </c>
      <c r="B24" s="20" t="n">
        <v>0</v>
      </c>
      <c r="C24" s="20" t="n">
        <v>0</v>
      </c>
      <c r="D24" s="20" t="n">
        <v>0.17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  <c r="K24" s="20" t="n">
        <v>0</v>
      </c>
      <c r="L24" s="20" t="n">
        <v>0</v>
      </c>
      <c r="M24" s="20" t="n">
        <v>0</v>
      </c>
    </row>
    <row r="25">
      <c r="A25" s="24" t="inlineStr">
        <is>
          <t>Operating loss before working capital changes</t>
        </is>
      </c>
      <c r="B25" s="25" t="n">
        <v>-2220.72</v>
      </c>
      <c r="C25" s="25" t="n">
        <v>-2080.68</v>
      </c>
      <c r="D25" s="25" t="n">
        <v>-2832.07</v>
      </c>
      <c r="E25" s="25" t="n">
        <v>-3050.65</v>
      </c>
      <c r="F25" s="25" t="n">
        <v>-2972.82</v>
      </c>
      <c r="G25" s="25" t="n">
        <v>-7686.32</v>
      </c>
      <c r="H25" s="25" t="n">
        <v>-15390.99</v>
      </c>
      <c r="I25" s="25" t="n">
        <v>-16676.15</v>
      </c>
      <c r="J25" s="25" t="n">
        <v>-8797.440000000001</v>
      </c>
      <c r="K25" s="25" t="n">
        <v>-13088.51</v>
      </c>
      <c r="L25" s="25" t="n">
        <v>-11666.83</v>
      </c>
      <c r="M25" s="25" t="n">
        <v>-11087.56</v>
      </c>
    </row>
    <row r="26">
      <c r="A26" s="26" t="inlineStr">
        <is>
          <t>Working capital adjustments:</t>
        </is>
      </c>
    </row>
    <row r="27">
      <c r="A27" s="23" t="inlineStr">
        <is>
          <t xml:space="preserve">  Increase in trade payables</t>
        </is>
      </c>
      <c r="B27" s="20" t="n">
        <v>848.01</v>
      </c>
      <c r="C27" s="20" t="n">
        <v>859.86</v>
      </c>
      <c r="D27" s="20" t="n">
        <v>300.01</v>
      </c>
      <c r="E27" s="20" t="n">
        <v>264.56</v>
      </c>
      <c r="F27" s="20" t="n">
        <v>1404.79</v>
      </c>
      <c r="G27" s="20" t="n">
        <v>3960.25</v>
      </c>
      <c r="H27" s="20" t="n">
        <v>6578.03</v>
      </c>
      <c r="I27" s="20" t="n">
        <v>5509.74</v>
      </c>
      <c r="J27" s="20" t="n">
        <v>3286.04</v>
      </c>
      <c r="K27" s="20" t="n">
        <v>4953.44</v>
      </c>
      <c r="L27" s="20" t="n">
        <v>1170.81</v>
      </c>
      <c r="M27" s="20" t="n">
        <v>4590.41</v>
      </c>
    </row>
    <row r="28">
      <c r="A28" s="23" t="inlineStr">
        <is>
          <t xml:space="preserve">  (Decrease) in provisions</t>
        </is>
      </c>
      <c r="B28" s="20" t="n">
        <v>-3.6</v>
      </c>
      <c r="C28" s="20" t="n">
        <v>-5.05</v>
      </c>
      <c r="D28" s="20" t="n">
        <v>-6.15</v>
      </c>
      <c r="E28" s="20" t="n">
        <v>-6.88</v>
      </c>
      <c r="F28" s="20" t="n">
        <v>-5.75</v>
      </c>
      <c r="G28" s="20" t="n">
        <v>-7.12</v>
      </c>
      <c r="H28" s="20" t="n">
        <v>-11.52</v>
      </c>
      <c r="I28" s="20" t="n">
        <v>-17.96</v>
      </c>
      <c r="J28" s="20" t="n">
        <v>-5.08</v>
      </c>
      <c r="K28" s="20" t="n">
        <v>-0.09</v>
      </c>
      <c r="L28" s="20" t="n">
        <v>-12.72</v>
      </c>
      <c r="M28" s="20" t="n">
        <v>-8.4</v>
      </c>
    </row>
    <row r="29">
      <c r="A29" s="23" t="inlineStr">
        <is>
          <t xml:space="preserve">  Increase/(decrease) in other financial liabilities</t>
        </is>
      </c>
      <c r="B29" s="20" t="n">
        <v>-261.26</v>
      </c>
      <c r="C29" s="20" t="n">
        <v>-75.58</v>
      </c>
      <c r="D29" s="20" t="n">
        <v>-92.5</v>
      </c>
      <c r="E29" s="20" t="n">
        <v>6.09</v>
      </c>
      <c r="F29" s="20" t="n">
        <v>295.57</v>
      </c>
      <c r="G29" s="20" t="n">
        <v>-244.9</v>
      </c>
      <c r="H29" s="20" t="n">
        <v>535.9</v>
      </c>
      <c r="I29" s="20" t="n">
        <v>2116.55</v>
      </c>
      <c r="J29" s="20" t="n">
        <v>1291.9</v>
      </c>
      <c r="K29" s="20" t="n">
        <v>-1063.16</v>
      </c>
      <c r="L29" s="20" t="n">
        <v>2547.1</v>
      </c>
      <c r="M29" s="20" t="n">
        <v>1660.18</v>
      </c>
    </row>
    <row r="30">
      <c r="A30" s="23" t="inlineStr">
        <is>
          <t xml:space="preserve">  Increase/(decrease) in other liabilities</t>
        </is>
      </c>
      <c r="B30" s="20" t="n">
        <v>-38.31</v>
      </c>
      <c r="C30" s="20" t="n">
        <v>117.46</v>
      </c>
      <c r="D30" s="20" t="n">
        <v>-109.21</v>
      </c>
      <c r="E30" s="20" t="n">
        <v>41.59</v>
      </c>
      <c r="F30" s="20" t="n">
        <v>108.42</v>
      </c>
      <c r="G30" s="20" t="n">
        <v>-61.95</v>
      </c>
      <c r="H30" s="20" t="n">
        <v>456.01</v>
      </c>
      <c r="I30" s="20" t="n">
        <v>1056.46</v>
      </c>
      <c r="J30" s="20" t="n">
        <v>-1032.66</v>
      </c>
      <c r="K30" s="20" t="n">
        <v>146.62</v>
      </c>
      <c r="L30" s="20" t="n">
        <v>142.8</v>
      </c>
      <c r="M30" s="20" t="n">
        <v>996.79</v>
      </c>
    </row>
    <row r="31">
      <c r="A31" s="23" t="inlineStr">
        <is>
          <t xml:space="preserve">  (Increase)/decrease in other financial assets</t>
        </is>
      </c>
      <c r="B31" s="20" t="n">
        <v>-14.99</v>
      </c>
      <c r="C31" s="20" t="n">
        <v>-50.75</v>
      </c>
      <c r="D31" s="20" t="n">
        <v>201.64</v>
      </c>
      <c r="E31" s="20" t="n">
        <v>-10.25</v>
      </c>
      <c r="F31" s="20" t="n">
        <v>-54</v>
      </c>
      <c r="G31" s="20" t="n">
        <v>-120.96</v>
      </c>
      <c r="H31" s="20" t="n">
        <v>-183.78</v>
      </c>
      <c r="I31" s="20" t="n">
        <v>-1348.71</v>
      </c>
      <c r="J31" s="20" t="n">
        <v>515.39</v>
      </c>
      <c r="K31" s="20" t="n">
        <v>9.49</v>
      </c>
      <c r="L31" s="20" t="n">
        <v>-353.11</v>
      </c>
      <c r="M31" s="20" t="n">
        <v>-344.05</v>
      </c>
    </row>
    <row r="32">
      <c r="A32" s="23" t="inlineStr">
        <is>
          <t xml:space="preserve">  (Increase)/decrease in other assets</t>
        </is>
      </c>
      <c r="B32" s="20" t="n">
        <v>-725.0700000000001</v>
      </c>
      <c r="C32" s="20" t="n">
        <v>-292.46</v>
      </c>
      <c r="D32" s="20" t="n">
        <v>272.85</v>
      </c>
      <c r="E32" s="20" t="n">
        <v>223.16</v>
      </c>
      <c r="F32" s="20" t="n">
        <v>-55.17</v>
      </c>
      <c r="G32" s="20" t="n">
        <v>-562.8</v>
      </c>
      <c r="H32" s="20" t="n">
        <v>-1093.59</v>
      </c>
      <c r="I32" s="20" t="n">
        <v>-1551.74</v>
      </c>
      <c r="J32" s="20" t="n">
        <v>699.2</v>
      </c>
      <c r="K32" s="20" t="n">
        <v>-470.3</v>
      </c>
      <c r="L32" s="20" t="n">
        <v>18.65</v>
      </c>
      <c r="M32" s="20" t="n">
        <v>557.96</v>
      </c>
    </row>
    <row r="33">
      <c r="A33" s="23" t="inlineStr">
        <is>
          <t xml:space="preserve">  (Increase)/decrease in trade receivables</t>
        </is>
      </c>
      <c r="B33" s="20" t="n">
        <v>36.38</v>
      </c>
      <c r="C33" s="20" t="n">
        <v>-1059.09</v>
      </c>
      <c r="D33" s="20" t="n">
        <v>-902.1</v>
      </c>
      <c r="E33" s="20" t="n">
        <v>-630.3099999999999</v>
      </c>
      <c r="F33" s="20" t="n">
        <v>-1022.43</v>
      </c>
      <c r="G33" s="20" t="n">
        <v>-1350.77</v>
      </c>
      <c r="H33" s="20" t="n">
        <v>-5471.18</v>
      </c>
      <c r="I33" s="20" t="n">
        <v>-6891.47</v>
      </c>
      <c r="J33" s="20" t="n">
        <v>-4755.49</v>
      </c>
      <c r="K33" s="20" t="n">
        <v>-851.35</v>
      </c>
      <c r="L33" s="20" t="n">
        <v>736.8099999999999</v>
      </c>
      <c r="M33" s="20" t="n">
        <v>-1517.07</v>
      </c>
    </row>
    <row r="34">
      <c r="A34" s="23" t="inlineStr">
        <is>
          <t xml:space="preserve">  (Increase)/decrease in inventories</t>
        </is>
      </c>
      <c r="B34" s="20" t="n">
        <v>197.4</v>
      </c>
      <c r="C34" s="20" t="n">
        <v>538.9299999999999</v>
      </c>
      <c r="D34" s="20" t="n">
        <v>-289.38</v>
      </c>
      <c r="E34" s="20" t="n">
        <v>-135.09</v>
      </c>
      <c r="F34" s="20" t="n">
        <v>-582.08</v>
      </c>
      <c r="G34" s="20" t="n">
        <v>-1191.8</v>
      </c>
      <c r="H34" s="20" t="n">
        <v>-1429.64</v>
      </c>
      <c r="I34" s="20" t="n">
        <v>-1635.43</v>
      </c>
      <c r="J34" s="20" t="n">
        <v>976.91</v>
      </c>
      <c r="K34" s="20" t="n">
        <v>-874.8200000000001</v>
      </c>
      <c r="L34" s="20" t="n">
        <v>-1181.77</v>
      </c>
      <c r="M34" s="20" t="n">
        <v>-1786.39</v>
      </c>
    </row>
    <row r="35">
      <c r="A35" s="24" t="inlineStr">
        <is>
          <t>Cash (used in) operating activities before taxes</t>
        </is>
      </c>
      <c r="B35" s="25" t="n">
        <v>-2182.16</v>
      </c>
      <c r="C35" s="25" t="n">
        <v>-2047.36</v>
      </c>
      <c r="D35" s="25" t="n">
        <v>-3456.91</v>
      </c>
      <c r="E35" s="25" t="n">
        <v>-3297.78</v>
      </c>
      <c r="F35" s="25" t="n">
        <v>-2883.47</v>
      </c>
      <c r="G35" s="25" t="n">
        <v>-7266.37</v>
      </c>
      <c r="H35" s="25" t="n">
        <v>-16010.76</v>
      </c>
      <c r="I35" s="25" t="n">
        <v>-19438.71</v>
      </c>
      <c r="J35" s="25" t="n">
        <v>-7821.23</v>
      </c>
      <c r="K35" s="25" t="n">
        <v>-11238.68</v>
      </c>
      <c r="L35" s="25" t="n">
        <v>-8598.26</v>
      </c>
      <c r="M35" s="25" t="n">
        <v>-6938.13</v>
      </c>
    </row>
    <row r="36">
      <c r="A36" s="23" t="inlineStr">
        <is>
          <t xml:space="preserve">  Income tax paid (net of refund)</t>
        </is>
      </c>
      <c r="B36" s="20" t="n">
        <v>-31.23</v>
      </c>
      <c r="C36" s="20" t="n">
        <v>-12.75</v>
      </c>
      <c r="D36" s="20" t="n">
        <v>1.25</v>
      </c>
      <c r="E36" s="20" t="n">
        <v>48.14</v>
      </c>
      <c r="F36" s="20" t="n">
        <v>-45.25</v>
      </c>
      <c r="G36" s="20" t="n">
        <v>-140.28</v>
      </c>
      <c r="H36" s="20" t="n">
        <v>9.619999999999999</v>
      </c>
      <c r="I36" s="20" t="n">
        <v>-473.12</v>
      </c>
      <c r="J36" s="20" t="n">
        <v>31.77</v>
      </c>
      <c r="K36" s="20" t="n">
        <v>-107.28</v>
      </c>
      <c r="L36" s="20" t="n">
        <v>-41.87</v>
      </c>
      <c r="M36" s="20" t="n">
        <v>89.26000000000001</v>
      </c>
    </row>
    <row r="37">
      <c r="A37" s="24" t="inlineStr">
        <is>
          <t>Net cash (used in) operating activities (A)</t>
        </is>
      </c>
      <c r="B37" s="25" t="n">
        <v>-2213.39</v>
      </c>
      <c r="C37" s="25" t="n">
        <v>-2060.11</v>
      </c>
      <c r="D37" s="25" t="n">
        <v>-3455.66</v>
      </c>
      <c r="E37" s="25" t="n">
        <v>-3249.64</v>
      </c>
      <c r="F37" s="25" t="n">
        <v>-2928.72</v>
      </c>
      <c r="G37" s="25" t="n">
        <v>-7406.65</v>
      </c>
      <c r="H37" s="25" t="n">
        <v>-16001.14</v>
      </c>
      <c r="I37" s="25" t="n">
        <v>-19911.83</v>
      </c>
      <c r="J37" s="25" t="n">
        <v>-7789.46</v>
      </c>
      <c r="K37" s="25" t="n">
        <v>-11345.96</v>
      </c>
      <c r="L37" s="25" t="n">
        <v>-8640.129999999999</v>
      </c>
      <c r="M37" s="25" t="n">
        <v>-6848.87</v>
      </c>
    </row>
    <row r="38">
      <c r="A38" s="7" t="inlineStr">
        <is>
          <t>CASH FLOWS FROM INVESTING ACTIVITIES</t>
        </is>
      </c>
    </row>
    <row r="39">
      <c r="A39" s="19" t="inlineStr">
        <is>
          <t>Purchase of PP&amp;E (incl. CWIP/intangibles/advances)</t>
        </is>
      </c>
      <c r="B39" s="20" t="n">
        <v>-185.26</v>
      </c>
      <c r="C39" s="20" t="n">
        <v>-278.29</v>
      </c>
      <c r="D39" s="20" t="n">
        <v>-335.86</v>
      </c>
      <c r="E39" s="20" t="n">
        <v>-427.22</v>
      </c>
      <c r="F39" s="20" t="n">
        <v>-261.49</v>
      </c>
      <c r="G39" s="20" t="n">
        <v>-1921.07</v>
      </c>
      <c r="H39" s="20" t="n">
        <v>-4198.56</v>
      </c>
      <c r="I39" s="20" t="n">
        <v>-2430.07</v>
      </c>
      <c r="J39" s="20" t="n">
        <v>-2248.11</v>
      </c>
      <c r="K39" s="20" t="n">
        <v>-1868.77</v>
      </c>
      <c r="L39" s="20" t="n">
        <v>-1369.99</v>
      </c>
      <c r="M39" s="20" t="n">
        <v>-1203.75</v>
      </c>
    </row>
    <row r="40">
      <c r="A40" s="19" t="inlineStr">
        <is>
          <t>Proceeds from sale of PP&amp;E</t>
        </is>
      </c>
      <c r="B40" s="20" t="n">
        <v>0</v>
      </c>
      <c r="C40" s="20" t="n">
        <v>0</v>
      </c>
      <c r="D40" s="20" t="n">
        <v>0</v>
      </c>
      <c r="E40" s="20" t="n">
        <v>0</v>
      </c>
      <c r="F40" s="20" t="n">
        <v>0</v>
      </c>
      <c r="G40" s="20" t="n">
        <v>0</v>
      </c>
      <c r="H40" s="20" t="n">
        <v>0</v>
      </c>
      <c r="I40" s="20" t="n">
        <v>0</v>
      </c>
      <c r="J40" s="20" t="n">
        <v>0</v>
      </c>
      <c r="K40" s="20" t="n">
        <v>0</v>
      </c>
      <c r="L40" s="20" t="n">
        <v>4.55</v>
      </c>
      <c r="M40" s="20" t="n">
        <v>36.98</v>
      </c>
    </row>
    <row r="41">
      <c r="A41" s="19" t="inlineStr">
        <is>
          <t>Payment for acquiring ROU assets</t>
        </is>
      </c>
      <c r="B41" s="20" t="n">
        <v>-3.95</v>
      </c>
      <c r="C41" s="20" t="n">
        <v>-9.039999999999999</v>
      </c>
      <c r="D41" s="20" t="n">
        <v>-6.7</v>
      </c>
      <c r="E41" s="20" t="n">
        <v>-1.43</v>
      </c>
      <c r="F41" s="20" t="n">
        <v>-2.84</v>
      </c>
      <c r="G41" s="20" t="n">
        <v>-19.31</v>
      </c>
      <c r="H41" s="20" t="n">
        <v>-37.28</v>
      </c>
      <c r="I41" s="20" t="n">
        <v>-10.09</v>
      </c>
      <c r="J41" s="20" t="n">
        <v>-2.95</v>
      </c>
      <c r="K41" s="20" t="n">
        <v>-13.84</v>
      </c>
      <c r="L41" s="20" t="n">
        <v>-1.83</v>
      </c>
      <c r="M41" s="20" t="n">
        <v>-10.05</v>
      </c>
    </row>
    <row r="42">
      <c r="A42" s="19" t="inlineStr">
        <is>
          <t>Interest received</t>
        </is>
      </c>
      <c r="B42" s="20" t="n">
        <v>85.09999999999999</v>
      </c>
      <c r="C42" s="20" t="n">
        <v>135.18</v>
      </c>
      <c r="D42" s="20" t="n">
        <v>264.93</v>
      </c>
      <c r="E42" s="20" t="n">
        <v>194.27</v>
      </c>
      <c r="F42" s="20" t="n">
        <v>208.07</v>
      </c>
      <c r="G42" s="20" t="n">
        <v>155.24</v>
      </c>
      <c r="H42" s="20" t="n">
        <v>155.94</v>
      </c>
      <c r="I42" s="20" t="n">
        <v>1045.2</v>
      </c>
      <c r="J42" s="20" t="n">
        <v>474.12</v>
      </c>
      <c r="K42" s="20" t="n">
        <v>1357.32</v>
      </c>
      <c r="L42" s="20" t="n">
        <v>1331.43</v>
      </c>
      <c r="M42" s="20" t="n">
        <v>1116.62</v>
      </c>
    </row>
    <row r="43">
      <c r="A43" s="19" t="inlineStr">
        <is>
          <t>Redemption/(investments in) bank deposits (net)</t>
        </is>
      </c>
      <c r="B43" s="20" t="n">
        <v>4554.33</v>
      </c>
      <c r="C43" s="20" t="n">
        <v>506.99</v>
      </c>
      <c r="D43" s="20" t="n">
        <v>-3618.57</v>
      </c>
      <c r="E43" s="20" t="n">
        <v>1740.02</v>
      </c>
      <c r="F43" s="20" t="n">
        <v>2271.16</v>
      </c>
      <c r="G43" s="20" t="n">
        <v>-35069.02</v>
      </c>
      <c r="H43" s="20" t="n">
        <v>292.06</v>
      </c>
      <c r="I43" s="20" t="n">
        <v>8334.780000000001</v>
      </c>
      <c r="J43" s="20" t="n">
        <v>1986.52</v>
      </c>
      <c r="K43" s="20" t="n">
        <v>9018.6</v>
      </c>
      <c r="L43" s="20" t="n">
        <v>1824.46</v>
      </c>
      <c r="M43" s="20" t="n">
        <v>636.2</v>
      </c>
    </row>
    <row r="44">
      <c r="A44" s="19" t="inlineStr">
        <is>
          <t>Proceeds from mutual fund units</t>
        </is>
      </c>
      <c r="B44" s="20" t="n">
        <v>0</v>
      </c>
      <c r="C44" s="20" t="n">
        <v>1597.25</v>
      </c>
      <c r="D44" s="20" t="n">
        <v>0</v>
      </c>
      <c r="E44" s="20" t="n">
        <v>5128.08</v>
      </c>
      <c r="F44" s="20" t="n">
        <v>7258.6</v>
      </c>
      <c r="G44" s="20" t="n">
        <v>16097.47</v>
      </c>
      <c r="H44" s="20" t="n">
        <v>51964.65</v>
      </c>
      <c r="I44" s="20" t="n">
        <v>34233.29</v>
      </c>
      <c r="J44" s="20" t="n">
        <v>43379.8</v>
      </c>
      <c r="K44" s="20" t="n">
        <v>24936.79</v>
      </c>
      <c r="L44" s="20" t="n">
        <v>55990.49</v>
      </c>
      <c r="M44" s="20" t="n">
        <v>41535.35</v>
      </c>
    </row>
    <row r="45">
      <c r="A45" s="19" t="inlineStr">
        <is>
          <t>Investments in mutual fund units</t>
        </is>
      </c>
      <c r="B45" s="20" t="n">
        <v>-2834.3</v>
      </c>
      <c r="C45" s="20" t="n">
        <v>0</v>
      </c>
      <c r="D45" s="20" t="n">
        <v>-3016.67</v>
      </c>
      <c r="E45" s="20" t="n">
        <v>0</v>
      </c>
      <c r="F45" s="20" t="n">
        <v>-12276.19</v>
      </c>
      <c r="G45" s="20" t="n">
        <v>-52330.38</v>
      </c>
      <c r="H45" s="20" t="n">
        <v>-40894.96</v>
      </c>
      <c r="I45" s="20" t="n">
        <v>-26242.98</v>
      </c>
      <c r="J45" s="20" t="n">
        <v>-25151.17</v>
      </c>
      <c r="K45" s="20" t="n">
        <v>-22617.6</v>
      </c>
      <c r="L45" s="20" t="n">
        <v>-63599.16</v>
      </c>
      <c r="M45" s="20" t="n">
        <v>-33777.01</v>
      </c>
    </row>
    <row r="46">
      <c r="A46" s="19" t="inlineStr">
        <is>
          <t>Redemption/(investments in) bonds (net)</t>
        </is>
      </c>
      <c r="B46" s="20" t="n">
        <v>0</v>
      </c>
      <c r="C46" s="20" t="n">
        <v>0</v>
      </c>
      <c r="D46" s="20" t="n">
        <v>0</v>
      </c>
      <c r="E46" s="20" t="n">
        <v>0</v>
      </c>
      <c r="F46" s="20" t="n">
        <v>0</v>
      </c>
      <c r="G46" s="20" t="n">
        <v>-4928.64</v>
      </c>
      <c r="H46" s="20" t="n">
        <v>-86.11</v>
      </c>
      <c r="I46" s="20" t="n">
        <v>5014.75</v>
      </c>
      <c r="J46" s="20" t="n">
        <v>-2436.04</v>
      </c>
      <c r="K46" s="20" t="n">
        <v>2137.79</v>
      </c>
      <c r="L46" s="20" t="n">
        <v>-1314.08</v>
      </c>
      <c r="M46" s="20" t="n">
        <v>616.21</v>
      </c>
    </row>
    <row r="47">
      <c r="A47" s="19" t="inlineStr">
        <is>
          <t>(Investments in)/redemption from commercial paper (net)</t>
        </is>
      </c>
      <c r="B47" s="20" t="n">
        <v>0</v>
      </c>
      <c r="C47" s="20" t="n">
        <v>0</v>
      </c>
      <c r="D47" s="20" t="n">
        <v>0</v>
      </c>
      <c r="E47" s="20" t="n">
        <v>0</v>
      </c>
      <c r="F47" s="20" t="n">
        <v>0</v>
      </c>
      <c r="G47" s="20" t="n">
        <v>-1439.82</v>
      </c>
      <c r="H47" s="20" t="n">
        <v>-20039.29</v>
      </c>
      <c r="I47" s="20" t="n">
        <v>1538.77</v>
      </c>
      <c r="J47" s="20" t="n">
        <v>-5147.94</v>
      </c>
      <c r="K47" s="20" t="n">
        <v>56.77</v>
      </c>
      <c r="L47" s="20" t="n">
        <v>-5700.67</v>
      </c>
      <c r="M47" s="20" t="n">
        <v>-1898.37</v>
      </c>
    </row>
    <row r="48">
      <c r="A48" s="19" t="inlineStr">
        <is>
          <t>Redemption/(investments in) inter-corporate deposit (net)</t>
        </is>
      </c>
      <c r="B48" s="20" t="n">
        <v>0</v>
      </c>
      <c r="C48" s="20" t="n">
        <v>0</v>
      </c>
      <c r="D48" s="20" t="n">
        <v>0</v>
      </c>
      <c r="E48" s="20" t="n">
        <v>0</v>
      </c>
      <c r="F48" s="20" t="n">
        <v>0</v>
      </c>
      <c r="G48" s="20" t="n">
        <v>0</v>
      </c>
      <c r="H48" s="20" t="n">
        <v>0</v>
      </c>
      <c r="I48" s="20" t="n">
        <v>0</v>
      </c>
      <c r="J48" s="20" t="n">
        <v>-456.61</v>
      </c>
      <c r="K48" s="20" t="n">
        <v>-258.22</v>
      </c>
      <c r="L48" s="20" t="n">
        <v>714.83</v>
      </c>
      <c r="M48" s="20" t="n">
        <v>0</v>
      </c>
    </row>
    <row r="49">
      <c r="A49" s="24" t="inlineStr">
        <is>
          <t>Net cash from/(used in) investing activities (B)</t>
        </is>
      </c>
      <c r="B49" s="25" t="n">
        <v>1615.92</v>
      </c>
      <c r="C49" s="25" t="n">
        <v>1952.09</v>
      </c>
      <c r="D49" s="25" t="n">
        <v>-6712.87</v>
      </c>
      <c r="E49" s="25" t="n">
        <v>6633.72</v>
      </c>
      <c r="F49" s="25" t="n">
        <v>-2802.69</v>
      </c>
      <c r="G49" s="25" t="n">
        <v>-79455.53</v>
      </c>
      <c r="H49" s="25" t="n">
        <v>-12843.55</v>
      </c>
      <c r="I49" s="25" t="n">
        <v>21483.65</v>
      </c>
      <c r="J49" s="25" t="n">
        <v>10397.62</v>
      </c>
      <c r="K49" s="25" t="n">
        <v>12748.84</v>
      </c>
      <c r="L49" s="25" t="n">
        <v>-12119.97</v>
      </c>
      <c r="M49" s="25" t="n">
        <v>7052.18</v>
      </c>
    </row>
    <row r="50">
      <c r="A50" s="7" t="inlineStr">
        <is>
          <t>CASH FLOWS FROM FINANCING ACTIVITIES</t>
        </is>
      </c>
    </row>
    <row r="51">
      <c r="A51" s="19" t="inlineStr">
        <is>
          <t>Proceeds from issue of equity (common control)</t>
        </is>
      </c>
      <c r="B51" s="20" t="n">
        <v>0</v>
      </c>
      <c r="C51" s="20" t="n">
        <v>0</v>
      </c>
      <c r="D51" s="20" t="n">
        <v>0</v>
      </c>
      <c r="E51" s="20" t="n">
        <v>0</v>
      </c>
      <c r="F51" s="20" t="n">
        <v>132.59</v>
      </c>
      <c r="G51" s="20" t="n">
        <v>131.66</v>
      </c>
      <c r="H51" s="20" t="n">
        <v>0</v>
      </c>
      <c r="I51" s="20" t="n">
        <v>0</v>
      </c>
      <c r="J51" s="20" t="n">
        <v>0</v>
      </c>
      <c r="K51" s="20" t="n">
        <v>0</v>
      </c>
      <c r="L51" s="20" t="n">
        <v>0</v>
      </c>
      <c r="M51" s="20" t="n">
        <v>0</v>
      </c>
    </row>
    <row r="52">
      <c r="A52" s="19" t="inlineStr">
        <is>
          <t>Proceeds from CCPS (common control transaction)</t>
        </is>
      </c>
      <c r="B52" s="20" t="n">
        <v>0</v>
      </c>
      <c r="C52" s="20" t="n">
        <v>16047.56</v>
      </c>
      <c r="D52" s="20" t="n">
        <v>3421.24</v>
      </c>
      <c r="E52" s="20" t="n">
        <v>0</v>
      </c>
      <c r="F52" s="20" t="n">
        <v>330.58</v>
      </c>
      <c r="G52" s="20" t="n">
        <v>80465.07000000001</v>
      </c>
      <c r="H52" s="20" t="n">
        <v>3.45</v>
      </c>
      <c r="I52" s="20" t="n">
        <v>-3.54</v>
      </c>
      <c r="J52" s="20" t="n">
        <v>0</v>
      </c>
      <c r="K52" s="20" t="n">
        <v>0</v>
      </c>
      <c r="L52" s="20" t="n">
        <v>0</v>
      </c>
      <c r="M52" s="20" t="n">
        <v>0</v>
      </c>
    </row>
    <row r="53">
      <c r="A53" s="19" t="inlineStr">
        <is>
          <t>Proceeds from issuance &amp; call-up of CCPS</t>
        </is>
      </c>
      <c r="B53" s="20" t="n">
        <v>0</v>
      </c>
      <c r="C53" s="20" t="n">
        <v>0</v>
      </c>
      <c r="D53" s="20" t="n">
        <v>0</v>
      </c>
      <c r="E53" s="20" t="n">
        <v>0</v>
      </c>
      <c r="F53" s="20" t="n">
        <v>0</v>
      </c>
      <c r="G53" s="20" t="n">
        <v>2100.19</v>
      </c>
      <c r="H53" s="20" t="n">
        <v>29403.04</v>
      </c>
      <c r="I53" s="20" t="n">
        <v>0</v>
      </c>
      <c r="J53" s="20" t="n">
        <v>0</v>
      </c>
      <c r="K53" s="20" t="n">
        <v>0</v>
      </c>
      <c r="L53" s="20" t="n">
        <v>25692.98</v>
      </c>
      <c r="M53" s="20" t="n">
        <v>0</v>
      </c>
    </row>
    <row r="54">
      <c r="A54" s="19" t="inlineStr">
        <is>
          <t>Share issue expenses</t>
        </is>
      </c>
      <c r="B54" s="20" t="n">
        <v>0</v>
      </c>
      <c r="C54" s="20" t="n">
        <v>0</v>
      </c>
      <c r="D54" s="20" t="n">
        <v>-262.56</v>
      </c>
      <c r="E54" s="20" t="n">
        <v>0</v>
      </c>
      <c r="F54" s="20" t="n">
        <v>-22</v>
      </c>
      <c r="G54" s="20" t="n">
        <v>-46.96</v>
      </c>
      <c r="H54" s="20" t="n">
        <v>-50.82</v>
      </c>
      <c r="I54" s="20" t="n">
        <v>-24.44</v>
      </c>
      <c r="J54" s="20" t="n">
        <v>0</v>
      </c>
      <c r="K54" s="20" t="n">
        <v>0</v>
      </c>
      <c r="L54" s="20" t="n">
        <v>0</v>
      </c>
      <c r="M54" s="20" t="n">
        <v>0</v>
      </c>
    </row>
    <row r="55">
      <c r="A55" s="19" t="inlineStr">
        <is>
          <t>Proceeds from OCRPS</t>
        </is>
      </c>
      <c r="B55" s="20" t="n">
        <v>0</v>
      </c>
      <c r="C55" s="20" t="n">
        <v>0</v>
      </c>
      <c r="D55" s="20" t="n">
        <v>0</v>
      </c>
      <c r="E55" s="20" t="n">
        <v>0.03</v>
      </c>
      <c r="F55" s="20" t="n">
        <v>67.47</v>
      </c>
      <c r="G55" s="20" t="n">
        <v>0</v>
      </c>
      <c r="H55" s="20" t="n">
        <v>0</v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</row>
    <row r="56">
      <c r="A56" s="19" t="inlineStr">
        <is>
          <t>(Repayment)/proceeds of non-convertible debentures (net)</t>
        </is>
      </c>
      <c r="B56" s="20" t="n">
        <v>-161.13</v>
      </c>
      <c r="C56" s="20" t="n">
        <v>-202.05</v>
      </c>
      <c r="D56" s="20" t="n">
        <v>329.92</v>
      </c>
      <c r="E56" s="20" t="n">
        <v>-204.04</v>
      </c>
      <c r="F56" s="20" t="n">
        <v>-503.7</v>
      </c>
      <c r="G56" s="20" t="n">
        <v>-84.90000000000001</v>
      </c>
      <c r="H56" s="20" t="n">
        <v>-383.35</v>
      </c>
      <c r="I56" s="20" t="n">
        <v>0</v>
      </c>
      <c r="J56" s="20" t="n">
        <v>0</v>
      </c>
      <c r="K56" s="20" t="n">
        <v>0</v>
      </c>
      <c r="L56" s="20" t="n">
        <v>0</v>
      </c>
      <c r="M56" s="20" t="n">
        <v>0</v>
      </c>
    </row>
    <row r="57">
      <c r="A57" s="19" t="inlineStr">
        <is>
          <t>Proceeds from borrowings</t>
        </is>
      </c>
      <c r="B57" s="20" t="n">
        <v>978.55</v>
      </c>
      <c r="C57" s="20" t="n">
        <v>63.74</v>
      </c>
      <c r="D57" s="20" t="n">
        <v>321.04</v>
      </c>
      <c r="E57" s="20" t="n">
        <v>0</v>
      </c>
      <c r="F57" s="20" t="n">
        <v>0</v>
      </c>
      <c r="G57" s="20" t="n">
        <v>173.53</v>
      </c>
      <c r="H57" s="20" t="n">
        <v>0</v>
      </c>
      <c r="I57" s="20" t="n">
        <v>0</v>
      </c>
      <c r="J57" s="20" t="n">
        <v>0</v>
      </c>
      <c r="K57" s="20" t="n">
        <v>0</v>
      </c>
      <c r="L57" s="20" t="n">
        <v>0</v>
      </c>
      <c r="M57" s="20" t="n">
        <v>0</v>
      </c>
    </row>
    <row r="58">
      <c r="A58" s="19" t="inlineStr">
        <is>
          <t>Repayment of borrowings</t>
        </is>
      </c>
      <c r="B58" s="20" t="n">
        <v>0</v>
      </c>
      <c r="C58" s="20" t="n">
        <v>0</v>
      </c>
      <c r="D58" s="20" t="n">
        <v>0</v>
      </c>
      <c r="E58" s="20" t="n">
        <v>-699.02</v>
      </c>
      <c r="F58" s="20" t="n">
        <v>-279.66</v>
      </c>
      <c r="G58" s="20" t="n">
        <v>0</v>
      </c>
      <c r="H58" s="20" t="n">
        <v>-558.21</v>
      </c>
      <c r="I58" s="20" t="n">
        <v>0</v>
      </c>
      <c r="J58" s="20" t="n">
        <v>0</v>
      </c>
      <c r="K58" s="20" t="n">
        <v>0</v>
      </c>
      <c r="L58" s="20" t="n">
        <v>0</v>
      </c>
      <c r="M58" s="20" t="n">
        <v>0</v>
      </c>
    </row>
    <row r="59">
      <c r="A59" s="19" t="inlineStr">
        <is>
          <t>Interest paid on borrowings</t>
        </is>
      </c>
      <c r="B59" s="20" t="n">
        <v>-50.79</v>
      </c>
      <c r="C59" s="20" t="n">
        <v>-49.71</v>
      </c>
      <c r="D59" s="20" t="n">
        <v>-43.42</v>
      </c>
      <c r="E59" s="20" t="n">
        <v>-31.77</v>
      </c>
      <c r="F59" s="20" t="n">
        <v>-42.78</v>
      </c>
      <c r="G59" s="20" t="n">
        <v>-24.06</v>
      </c>
      <c r="H59" s="20" t="n">
        <v>-19.5</v>
      </c>
      <c r="I59" s="20" t="n">
        <v>-5.8</v>
      </c>
      <c r="J59" s="20" t="n">
        <v>-0.07000000000000001</v>
      </c>
      <c r="K59" s="20" t="n">
        <v>0</v>
      </c>
      <c r="L59" s="20" t="n">
        <v>-0.16</v>
      </c>
      <c r="M59" s="20" t="n">
        <v>-0.41</v>
      </c>
    </row>
    <row r="60">
      <c r="A60" s="19" t="inlineStr">
        <is>
          <t>Principal payment of lease liabilities</t>
        </is>
      </c>
      <c r="B60" s="20" t="n">
        <v>-91.95999999999999</v>
      </c>
      <c r="C60" s="20" t="n">
        <v>-106.61</v>
      </c>
      <c r="D60" s="20" t="n">
        <v>-130.82</v>
      </c>
      <c r="E60" s="20" t="n">
        <v>-157.78</v>
      </c>
      <c r="F60" s="20" t="n">
        <v>-246.04</v>
      </c>
      <c r="G60" s="20" t="n">
        <v>-269.53</v>
      </c>
      <c r="H60" s="20" t="n">
        <v>-414.61</v>
      </c>
      <c r="I60" s="20" t="n">
        <v>-709.99</v>
      </c>
      <c r="J60" s="20" t="n">
        <v>-913.87</v>
      </c>
      <c r="K60" s="20" t="n">
        <v>-1000.21</v>
      </c>
      <c r="L60" s="20" t="n">
        <v>-1073.42</v>
      </c>
      <c r="M60" s="20" t="n">
        <v>-1161.69</v>
      </c>
    </row>
    <row r="61">
      <c r="A61" s="19" t="inlineStr">
        <is>
          <t>Interest payment of lease liabilities</t>
        </is>
      </c>
      <c r="B61" s="20" t="n">
        <v>-71.06999999999999</v>
      </c>
      <c r="C61" s="20" t="n">
        <v>-85.06999999999999</v>
      </c>
      <c r="D61" s="20" t="n">
        <v>-101.13</v>
      </c>
      <c r="E61" s="20" t="n">
        <v>-109.44</v>
      </c>
      <c r="F61" s="20" t="n">
        <v>-136.2</v>
      </c>
      <c r="G61" s="20" t="n">
        <v>-206.94</v>
      </c>
      <c r="H61" s="20" t="n">
        <v>-389.97</v>
      </c>
      <c r="I61" s="20" t="n">
        <v>-539.0700000000001</v>
      </c>
      <c r="J61" s="20" t="n">
        <v>-618.21</v>
      </c>
      <c r="K61" s="20" t="n">
        <v>-667.27</v>
      </c>
      <c r="L61" s="20" t="n">
        <v>-658.9299999999999</v>
      </c>
      <c r="M61" s="20" t="n">
        <v>-646.61</v>
      </c>
    </row>
    <row r="62">
      <c r="A62" s="24" t="inlineStr">
        <is>
          <t>Net cash from/(used in) financing activities (C)</t>
        </is>
      </c>
      <c r="B62" s="25" t="n">
        <v>603.6</v>
      </c>
      <c r="C62" s="25" t="n">
        <v>15667.86</v>
      </c>
      <c r="D62" s="25" t="n">
        <v>3534.27</v>
      </c>
      <c r="E62" s="25" t="n">
        <v>-1202.02</v>
      </c>
      <c r="F62" s="25" t="n">
        <v>-699.74</v>
      </c>
      <c r="G62" s="25" t="n">
        <v>82238.06</v>
      </c>
      <c r="H62" s="25" t="n">
        <v>27590.03</v>
      </c>
      <c r="I62" s="25" t="n">
        <v>-1282.84</v>
      </c>
      <c r="J62" s="25" t="n">
        <v>-1532.15</v>
      </c>
      <c r="K62" s="25" t="n">
        <v>-1667.48</v>
      </c>
      <c r="L62" s="25" t="n">
        <v>23960.47</v>
      </c>
      <c r="M62" s="25" t="n">
        <v>-1808.71</v>
      </c>
    </row>
    <row r="63">
      <c r="A63" s="7" t="inlineStr">
        <is>
          <t>NET MOVEMENT</t>
        </is>
      </c>
    </row>
    <row r="64">
      <c r="A64" s="24" t="inlineStr">
        <is>
          <t>Net increase/(decrease) in cash (A+B+C)</t>
        </is>
      </c>
      <c r="B64" s="25" t="n">
        <v>6.13</v>
      </c>
      <c r="C64" s="25" t="n">
        <v>15559.84</v>
      </c>
      <c r="D64" s="25" t="n">
        <v>-6634.25</v>
      </c>
      <c r="E64" s="25" t="n">
        <v>2182.05</v>
      </c>
      <c r="F64" s="25" t="n">
        <v>-6431.15</v>
      </c>
      <c r="G64" s="25" t="n">
        <v>-4624.12</v>
      </c>
      <c r="H64" s="25" t="n">
        <v>-1254.66</v>
      </c>
      <c r="I64" s="25" t="n">
        <v>288.98</v>
      </c>
      <c r="J64" s="25" t="n">
        <v>1076.01</v>
      </c>
      <c r="K64" s="25" t="n">
        <v>-264.6</v>
      </c>
      <c r="L64" s="25" t="n">
        <v>3200.37</v>
      </c>
      <c r="M64" s="25" t="n">
        <v>-1605.4</v>
      </c>
    </row>
    <row r="65">
      <c r="A65" s="19" t="inlineStr">
        <is>
          <t>Cash &amp; cash equivalents at beginning</t>
        </is>
      </c>
      <c r="B65" s="20" t="n">
        <v>2542.12</v>
      </c>
      <c r="C65" s="20" t="n">
        <v>2548.25</v>
      </c>
      <c r="D65" s="20" t="n">
        <v>18108.09</v>
      </c>
      <c r="E65" s="20" t="n">
        <v>11473.84</v>
      </c>
      <c r="F65" s="20" t="n">
        <v>13655.89</v>
      </c>
      <c r="G65" s="20" t="n">
        <v>7224.74</v>
      </c>
      <c r="H65" s="20" t="n">
        <v>2600.62</v>
      </c>
      <c r="I65" s="20" t="n">
        <v>1345.96</v>
      </c>
      <c r="J65" s="20" t="n">
        <v>1634.94</v>
      </c>
      <c r="K65" s="20" t="n">
        <v>2710.95</v>
      </c>
      <c r="L65" s="20" t="n">
        <v>2446.35</v>
      </c>
      <c r="M65" s="20" t="n">
        <v>5646.72</v>
      </c>
    </row>
    <row r="66">
      <c r="A66" s="24" t="inlineStr">
        <is>
          <t>Cash &amp; cash equivalents at end</t>
        </is>
      </c>
      <c r="B66" s="25" t="n">
        <v>2548.25</v>
      </c>
      <c r="C66" s="25" t="n">
        <v>18108.09</v>
      </c>
      <c r="D66" s="25" t="n">
        <v>11473.84</v>
      </c>
      <c r="E66" s="25" t="n">
        <v>13655.89</v>
      </c>
      <c r="F66" s="25" t="n">
        <v>7224.74</v>
      </c>
      <c r="G66" s="25" t="n">
        <v>2600.62</v>
      </c>
      <c r="H66" s="25" t="n">
        <v>1345.96</v>
      </c>
      <c r="I66" s="25" t="n">
        <v>1634.94</v>
      </c>
      <c r="J66" s="25" t="n">
        <v>2710.95</v>
      </c>
      <c r="K66" s="25" t="n">
        <v>2446.35</v>
      </c>
      <c r="L66" s="25" t="n">
        <v>5646.72</v>
      </c>
      <c r="M66" s="25" t="n">
        <v>4041.32</v>
      </c>
    </row>
  </sheetData>
  <mergeCells count="6">
    <mergeCell ref="A1:M1"/>
    <mergeCell ref="A5:M5"/>
    <mergeCell ref="A50:M50"/>
    <mergeCell ref="A38:M38"/>
    <mergeCell ref="A2:M2"/>
    <mergeCell ref="A63:M6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2.5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7" t="inlineStr">
        <is>
          <t>Changes in Working Capital &amp; Capital Expenditure — Reconciliation</t>
        </is>
      </c>
    </row>
    <row r="2">
      <c r="A2" s="2" t="inlineStr">
        <is>
          <t>All figures as reported in UDRHP-I (annual p553, quarterly p560). Rs million. No adjustments.</t>
        </is>
      </c>
    </row>
    <row r="4">
      <c r="A4" s="3" t="n"/>
      <c r="B4" s="4" t="inlineStr">
        <is>
          <t>ANNUAL</t>
        </is>
      </c>
      <c r="E4" s="3" t="n"/>
      <c r="F4" s="4" t="inlineStr">
        <is>
          <t>QUARTERLY</t>
        </is>
      </c>
    </row>
    <row r="5">
      <c r="A5" s="5" t="inlineStr">
        <is>
          <t>Rs million</t>
        </is>
      </c>
      <c r="B5" s="6" t="inlineStr">
        <is>
          <t>FY2024</t>
        </is>
      </c>
      <c r="C5" s="6" t="inlineStr">
        <is>
          <t>FY2025</t>
        </is>
      </c>
      <c r="D5" s="6" t="inlineStr">
        <is>
          <t>FY2026</t>
        </is>
      </c>
      <c r="E5" s="3" t="n"/>
      <c r="F5" s="6" t="inlineStr">
        <is>
          <t>Q1FY24</t>
        </is>
      </c>
      <c r="G5" s="6" t="inlineStr">
        <is>
          <t>Q2FY24</t>
        </is>
      </c>
      <c r="H5" s="6" t="inlineStr">
        <is>
          <t>Q3FY24</t>
        </is>
      </c>
      <c r="I5" s="6" t="inlineStr">
        <is>
          <t>Q4FY24</t>
        </is>
      </c>
      <c r="J5" s="6" t="inlineStr">
        <is>
          <t>Q1FY25</t>
        </is>
      </c>
      <c r="K5" s="6" t="inlineStr">
        <is>
          <t>Q2FY25</t>
        </is>
      </c>
      <c r="L5" s="6" t="inlineStr">
        <is>
          <t>Q3FY25</t>
        </is>
      </c>
      <c r="M5" s="6" t="inlineStr">
        <is>
          <t>Q4FY25</t>
        </is>
      </c>
      <c r="N5" s="6" t="inlineStr">
        <is>
          <t>Q1FY26</t>
        </is>
      </c>
      <c r="O5" s="6" t="inlineStr">
        <is>
          <t>Q2FY26</t>
        </is>
      </c>
      <c r="P5" s="6" t="inlineStr">
        <is>
          <t>Q3FY26</t>
        </is>
      </c>
      <c r="Q5" s="6" t="inlineStr">
        <is>
          <t>Q4FY26</t>
        </is>
      </c>
    </row>
    <row r="6">
      <c r="A6" s="19" t="inlineStr">
        <is>
          <t>Working capital adjustments (A)</t>
        </is>
      </c>
      <c r="B6" s="27" t="n">
        <v>-800.09</v>
      </c>
      <c r="C6" s="27" t="n">
        <v>-2873.03</v>
      </c>
      <c r="D6" s="27" t="n">
        <v>10044.04</v>
      </c>
      <c r="F6" s="28" t="n">
        <v>38.56</v>
      </c>
      <c r="G6" s="28" t="n">
        <v>33.32</v>
      </c>
      <c r="H6" s="28" t="n">
        <v>-624.84</v>
      </c>
      <c r="I6" s="28" t="n">
        <v>-247.13</v>
      </c>
      <c r="J6" s="28" t="n">
        <v>89.34999999999999</v>
      </c>
      <c r="K6" s="28" t="n">
        <v>419.95</v>
      </c>
      <c r="L6" s="28" t="n">
        <v>-619.77</v>
      </c>
      <c r="M6" s="28" t="n">
        <v>-2762.56</v>
      </c>
      <c r="N6" s="28" t="n">
        <v>976.21</v>
      </c>
      <c r="O6" s="28" t="n">
        <v>1849.43</v>
      </c>
      <c r="P6" s="28" t="n">
        <v>3068.57</v>
      </c>
      <c r="Q6" s="28" t="n">
        <v>4149.43</v>
      </c>
    </row>
    <row r="7">
      <c r="A7" s="2" t="inlineStr">
        <is>
          <t>Capital expenditure:</t>
        </is>
      </c>
    </row>
    <row r="8">
      <c r="A8" s="23" t="inlineStr">
        <is>
          <t xml:space="preserve">  (i) Purchase of PP&amp;E (incl. CWIP/intangibles/IAUD/advances)</t>
        </is>
      </c>
      <c r="B8" s="27" t="n">
        <v>-1226.63</v>
      </c>
      <c r="C8" s="27" t="n">
        <v>-8811.190000000001</v>
      </c>
      <c r="D8" s="27" t="n">
        <v>-6690.62</v>
      </c>
      <c r="F8" s="28" t="n">
        <v>-185.26</v>
      </c>
      <c r="G8" s="28" t="n">
        <v>-278.29</v>
      </c>
      <c r="H8" s="28" t="n">
        <v>-335.86</v>
      </c>
      <c r="I8" s="28" t="n">
        <v>-427.22</v>
      </c>
      <c r="J8" s="28" t="n">
        <v>-261.49</v>
      </c>
      <c r="K8" s="28" t="n">
        <v>-1921.07</v>
      </c>
      <c r="L8" s="28" t="n">
        <v>-4198.56</v>
      </c>
      <c r="M8" s="28" t="n">
        <v>-2430.07</v>
      </c>
      <c r="N8" s="28" t="n">
        <v>-2248.11</v>
      </c>
      <c r="O8" s="28" t="n">
        <v>-1868.77</v>
      </c>
      <c r="P8" s="28" t="n">
        <v>-1369.99</v>
      </c>
      <c r="Q8" s="28" t="n">
        <v>-1203.75</v>
      </c>
    </row>
    <row r="9">
      <c r="A9" s="23" t="inlineStr">
        <is>
          <t xml:space="preserve">  (iii) less: Proceeds from sale of PP&amp;E</t>
        </is>
      </c>
      <c r="B9" s="27" t="n">
        <v>0</v>
      </c>
      <c r="C9" s="27" t="n">
        <v>0</v>
      </c>
      <c r="D9" s="27" t="n">
        <v>41.53</v>
      </c>
      <c r="F9" s="28" t="n">
        <v>0</v>
      </c>
      <c r="G9" s="28" t="n">
        <v>0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4.55</v>
      </c>
      <c r="Q9" s="28" t="n">
        <v>36.98</v>
      </c>
    </row>
    <row r="10">
      <c r="A10" s="23" t="inlineStr">
        <is>
          <t xml:space="preserve">  Net PP&amp;E (B, as reported in DRHP recon)</t>
        </is>
      </c>
      <c r="B10" s="27" t="n">
        <v>-1226.63</v>
      </c>
      <c r="C10" s="27" t="n">
        <v>-8811.190000000001</v>
      </c>
      <c r="D10" s="27" t="n">
        <v>-6649.09</v>
      </c>
      <c r="F10" s="28" t="n">
        <v>-185.26</v>
      </c>
      <c r="G10" s="28" t="n">
        <v>-278.29</v>
      </c>
      <c r="H10" s="28" t="n">
        <v>-335.86</v>
      </c>
      <c r="I10" s="28" t="n">
        <v>-427.22</v>
      </c>
      <c r="J10" s="28" t="n">
        <v>-261.49</v>
      </c>
      <c r="K10" s="28" t="n">
        <v>-1921.07</v>
      </c>
      <c r="L10" s="28" t="n">
        <v>-4198.56</v>
      </c>
      <c r="M10" s="28" t="n">
        <v>-2430.07</v>
      </c>
      <c r="N10" s="28" t="n">
        <v>-2248.11</v>
      </c>
      <c r="O10" s="28" t="n">
        <v>-1868.77</v>
      </c>
      <c r="P10" s="28" t="n">
        <v>-1365.44</v>
      </c>
      <c r="Q10" s="28" t="n">
        <v>-1166.77</v>
      </c>
    </row>
    <row r="11">
      <c r="A11" s="23" t="inlineStr">
        <is>
          <t xml:space="preserve">  (ii) Rental payments - Ind AS 116 furniture &amp; fixtures (C)</t>
        </is>
      </c>
      <c r="B11" s="27" t="n">
        <v>0</v>
      </c>
      <c r="C11" s="27" t="n">
        <v>-87.55</v>
      </c>
      <c r="D11" s="27" t="n">
        <v>-1167.78</v>
      </c>
      <c r="F11" s="28" t="n">
        <v>0</v>
      </c>
      <c r="G11" s="28" t="n">
        <v>0</v>
      </c>
      <c r="H11" s="28" t="n">
        <v>0</v>
      </c>
      <c r="I11" s="28" t="n">
        <v>0</v>
      </c>
      <c r="J11" s="28" t="n">
        <v>-20.02</v>
      </c>
      <c r="K11" s="28" t="n">
        <v>-20.02</v>
      </c>
      <c r="L11" s="28" t="n">
        <v>-21.91</v>
      </c>
      <c r="M11" s="28" t="n">
        <v>-25.6</v>
      </c>
      <c r="N11" s="28" t="n">
        <v>-198.88</v>
      </c>
      <c r="O11" s="28" t="n">
        <v>-314.33</v>
      </c>
      <c r="P11" s="28" t="n">
        <v>-321.23</v>
      </c>
      <c r="Q11" s="28" t="n">
        <v>-333.34</v>
      </c>
    </row>
    <row r="12">
      <c r="A12" s="24">
        <f> Changes in WC &amp; Capex (computed A+B+C)</f>
        <v/>
      </c>
      <c r="B12" s="29" t="n">
        <v>-2026.72</v>
      </c>
      <c r="C12" s="29" t="n">
        <v>-11771.77</v>
      </c>
      <c r="D12" s="29" t="n">
        <v>2227.170000000001</v>
      </c>
      <c r="F12" s="29" t="n">
        <v>-146.7</v>
      </c>
      <c r="G12" s="29" t="n">
        <v>-244.97</v>
      </c>
      <c r="H12" s="29" t="n">
        <v>-960.7</v>
      </c>
      <c r="I12" s="29" t="n">
        <v>-674.35</v>
      </c>
      <c r="J12" s="29" t="n">
        <v>-192.16</v>
      </c>
      <c r="K12" s="29" t="n">
        <v>-1521.14</v>
      </c>
      <c r="L12" s="29" t="n">
        <v>-4840.24</v>
      </c>
      <c r="M12" s="29" t="n">
        <v>-5218.23</v>
      </c>
      <c r="N12" s="29" t="n">
        <v>-1470.78</v>
      </c>
      <c r="O12" s="29" t="n">
        <v>-333.6699999999999</v>
      </c>
      <c r="P12" s="29" t="n">
        <v>1381.9</v>
      </c>
      <c r="Q12" s="29" t="n">
        <v>2649.32</v>
      </c>
    </row>
    <row r="13">
      <c r="A13" s="24" t="inlineStr">
        <is>
          <t>Changes in WC &amp; Capex (as reported in DRHP)</t>
        </is>
      </c>
      <c r="B13" s="29" t="n">
        <v>-2026.72</v>
      </c>
      <c r="C13" s="29" t="n">
        <v>-11771.77</v>
      </c>
      <c r="D13" s="29" t="n">
        <v>2227.17</v>
      </c>
      <c r="F13" s="29" t="n">
        <v>-146.7</v>
      </c>
      <c r="G13" s="29" t="n">
        <v>-244.97</v>
      </c>
      <c r="H13" s="29" t="n">
        <v>-960.7</v>
      </c>
      <c r="I13" s="29" t="n">
        <v>-674.35</v>
      </c>
      <c r="J13" s="29" t="n">
        <v>-192.16</v>
      </c>
      <c r="K13" s="29" t="n">
        <v>-1521.14</v>
      </c>
      <c r="L13" s="29" t="n">
        <v>-4840.24</v>
      </c>
      <c r="M13" s="29" t="n">
        <v>-5218.23</v>
      </c>
      <c r="N13" s="29" t="n">
        <v>-1470.78</v>
      </c>
      <c r="O13" s="29" t="n">
        <v>-333.27</v>
      </c>
      <c r="P13" s="29" t="n">
        <v>1381.9</v>
      </c>
      <c r="Q13" s="29" t="n">
        <v>2649.32</v>
      </c>
    </row>
    <row r="14">
      <c r="A14" s="19" t="inlineStr">
        <is>
          <t>Rounding difference (reported - computed)</t>
        </is>
      </c>
      <c r="B14" s="27" t="n">
        <v>0</v>
      </c>
      <c r="C14" s="27" t="n">
        <v>0</v>
      </c>
      <c r="D14" s="27" t="n">
        <v>-0</v>
      </c>
      <c r="F14" s="28" t="n">
        <v>0</v>
      </c>
      <c r="G14" s="28" t="n">
        <v>0</v>
      </c>
      <c r="H14" s="28" t="n">
        <v>0</v>
      </c>
      <c r="I14" s="28" t="n">
        <v>0</v>
      </c>
      <c r="J14" s="28" t="n">
        <v>0</v>
      </c>
      <c r="K14" s="28" t="n">
        <v>-0</v>
      </c>
      <c r="L14" s="28" t="n">
        <v>0</v>
      </c>
      <c r="M14" s="28" t="n">
        <v>0</v>
      </c>
      <c r="N14" s="28" t="n">
        <v>0</v>
      </c>
      <c r="O14" s="28" t="n">
        <v>0.4</v>
      </c>
      <c r="P14" s="28" t="n">
        <v>0</v>
      </c>
      <c r="Q14" s="28" t="n">
        <v>0</v>
      </c>
    </row>
    <row r="16">
      <c r="A16" s="30" t="inlineStr">
        <is>
          <t>DRHP reconciliation reports line B as a single figure = purchase of PP&amp;E net of disposal proceeds. Split into (i) and (iii) above using the reported cash-flow lines.</t>
        </is>
      </c>
    </row>
    <row r="17">
      <c r="A17" s="30" t="inlineStr">
        <is>
          <t>All quarters foot exactly except Q2FY26: A+B+C = (333.67) vs DRHP-reported (333.27) -&gt; Rs 0.40 mn rounding anomaly noted by the DRHP ("totalling anomalies due to rounding off"). Left unadjusted.</t>
        </is>
      </c>
    </row>
  </sheetData>
  <mergeCells count="6">
    <mergeCell ref="A17:Q17"/>
    <mergeCell ref="B4:D4"/>
    <mergeCell ref="A2:Q2"/>
    <mergeCell ref="A16:Q16"/>
    <mergeCell ref="A1:Q1"/>
    <mergeCell ref="F4:Q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2026-06-10T15:15:20Z</dcterms:created>
  <dcterms:modified xmlns:dcterms="http://purl.org/dc/terms/" xmlns:xsi="http://www.w3.org/2001/XMLSchema-instance" xsi:type="dcterms:W3CDTF">2026-06-22T06:01:06Z</dcterms:modified>
</cp:coreProperties>
</file>