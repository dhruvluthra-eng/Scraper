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 Offer Snapshot" sheetId="2" state="visible" r:id="rId2"/>
    <sheet xmlns:r="http://schemas.openxmlformats.org/officeDocument/2006/relationships" name="2. P&amp;L (Annual)" sheetId="3" state="visible" r:id="rId3"/>
    <sheet xmlns:r="http://schemas.openxmlformats.org/officeDocument/2006/relationships" name="3. Balance Sheet (Annual)" sheetId="4" state="visible" r:id="rId4"/>
    <sheet xmlns:r="http://schemas.openxmlformats.org/officeDocument/2006/relationships" name="4. Cash Flow (Annual)" sheetId="5" state="visible" r:id="rId5"/>
    <sheet xmlns:r="http://schemas.openxmlformats.org/officeDocument/2006/relationships" name="5. KPIs (Annual)" sheetId="6" state="visible" r:id="rId6"/>
    <sheet xmlns:r="http://schemas.openxmlformats.org/officeDocument/2006/relationships" name="6. KPIs (Quarterly)" sheetId="7" state="visible" r:id="rId7"/>
    <sheet xmlns:r="http://schemas.openxmlformats.org/officeDocument/2006/relationships" name="7. Key Ratios &amp; Peers" sheetId="8" state="visible" r:id="rId8"/>
    <sheet xmlns:r="http://schemas.openxmlformats.org/officeDocument/2006/relationships" name="8. Revenue Breakdown" sheetId="9" state="visible" r:id="rId9"/>
    <sheet xmlns:r="http://schemas.openxmlformats.org/officeDocument/2006/relationships" name="9. P&amp;L (Quarterly)" sheetId="10" state="visible" r:id="rId10"/>
    <sheet xmlns:r="http://schemas.openxmlformats.org/officeDocument/2006/relationships" name="10. Balance Sheet (Qtr)" sheetId="11" state="visible" r:id="rId11"/>
    <sheet xmlns:r="http://schemas.openxmlformats.org/officeDocument/2006/relationships" name="11. Shareholding" sheetId="12" state="visible" r:id="rId12"/>
    <sheet xmlns:r="http://schemas.openxmlformats.org/officeDocument/2006/relationships" name="12. Revenue Mix (Qtr)" sheetId="13" state="visible" r:id="rId13"/>
    <sheet xmlns:r="http://schemas.openxmlformats.org/officeDocument/2006/relationships" name="13. Cost Breakdown (Annual)" sheetId="14" state="visible" r:id="rId14"/>
    <sheet xmlns:r="http://schemas.openxmlformats.org/officeDocument/2006/relationships" name="14. Cost Breakdown (Qtr)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#,##0.0;\(#,##0.0\);\-"/>
    <numFmt numFmtId="165" formatCode="0.0%"/>
    <numFmt numFmtId="166" formatCode="#,##0.00;\(#,##0.00\);\-"/>
    <numFmt numFmtId="167" formatCode="0.0%;\(0.0%\);\-"/>
    <numFmt numFmtId="168" formatCode="#,##0.00;\(#,##0.00\)"/>
    <numFmt numFmtId="169" formatCode="0.0%;\(0.0%\)"/>
    <numFmt numFmtId="170" formatCode="#,##0.00;(#,##0.00);-"/>
  </numFmts>
  <fonts count="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5F"/>
      <sz val="24"/>
    </font>
    <font>
      <name val="Arial"/>
      <charset val="1"/>
      <family val="0"/>
      <color rgb="FF555555"/>
      <sz val="12"/>
    </font>
    <font>
      <name val="Arial"/>
      <charset val="1"/>
      <family val="0"/>
      <sz val="10"/>
    </font>
    <font>
      <name val="Arial"/>
      <charset val="1"/>
      <family val="0"/>
      <b val="1"/>
      <color rgb="FF1F4E5F"/>
      <sz val="12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5F"/>
      <sz val="14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4E5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8"/>
    </font>
    <font>
      <name val="Arial"/>
      <charset val="1"/>
      <family val="0"/>
      <sz val="8"/>
    </font>
    <font>
      <name val="Arial"/>
      <charset val="1"/>
      <family val="0"/>
      <b val="1"/>
      <sz val="8"/>
    </font>
    <font>
      <name val="Arial"/>
      <charset val="1"/>
      <family val="0"/>
      <b val="1"/>
      <color rgb="FFFFFFFF"/>
      <sz val="9"/>
    </font>
    <font>
      <name val="Arial"/>
      <b val="1"/>
      <color rgb="001F4E5F"/>
      <sz val="14"/>
    </font>
    <font>
      <name val="Arial"/>
      <i val="1"/>
      <color rgb="00555555"/>
      <sz val="9"/>
    </font>
    <font>
      <name val="Arial"/>
      <b val="1"/>
      <color rgb="00FFFFFF"/>
      <sz val="8"/>
    </font>
    <font>
      <name val="Arial"/>
      <b val="1"/>
      <sz val="10"/>
    </font>
    <font>
      <name val="Arial"/>
      <sz val="8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2D9A0"/>
        <bgColor rgb="FFD9E2E8"/>
      </patternFill>
    </fill>
    <fill>
      <patternFill patternType="solid">
        <fgColor rgb="FFD9E2E8"/>
        <bgColor rgb="FFCCFFFF"/>
      </patternFill>
    </fill>
    <fill>
      <patternFill patternType="solid">
        <fgColor rgb="001F4E5F"/>
      </patternFill>
    </fill>
    <fill>
      <patternFill patternType="solid">
        <fgColor rgb="00D9E2E8"/>
      </patternFill>
    </fill>
    <fill>
      <patternFill patternType="solid">
        <fgColor rgb="00F2D9A0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right" vertical="bottom"/>
    </xf>
    <xf numFmtId="0" fontId="8" fillId="3" borderId="1" applyAlignment="1" pivotButton="0" quotePrefix="0" xfId="0">
      <alignment horizontal="general" vertical="bottom"/>
    </xf>
    <xf numFmtId="3" fontId="8" fillId="3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right" vertical="bottom"/>
    </xf>
    <xf numFmtId="0" fontId="6" fillId="0" borderId="1" applyAlignment="1" pivotButton="0" quotePrefix="0" xfId="0">
      <alignment horizontal="right" vertical="bottom"/>
    </xf>
    <xf numFmtId="0" fontId="11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165" fontId="6" fillId="0" borderId="1" applyAlignment="1" pivotButton="0" quotePrefix="0" xfId="0">
      <alignment horizontal="right" vertical="bottom"/>
    </xf>
    <xf numFmtId="0" fontId="0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 wrapText="1"/>
    </xf>
    <xf numFmtId="164" fontId="8" fillId="3" borderId="1" applyAlignment="1" pivotButton="0" quotePrefix="0" xfId="0">
      <alignment horizontal="right" vertical="bottom"/>
    </xf>
    <xf numFmtId="166" fontId="6" fillId="0" borderId="1" applyAlignment="1" pivotButton="0" quotePrefix="0" xfId="0">
      <alignment horizontal="right" vertical="bottom"/>
    </xf>
    <xf numFmtId="0" fontId="8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 indent="1"/>
    </xf>
    <xf numFmtId="0" fontId="13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 wrapText="1"/>
    </xf>
    <xf numFmtId="164" fontId="8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center" vertical="bottom"/>
    </xf>
    <xf numFmtId="167" fontId="6" fillId="0" borderId="1" applyAlignment="1" pivotButton="0" quotePrefix="0" xfId="0">
      <alignment horizontal="right" vertical="bottom"/>
    </xf>
    <xf numFmtId="0" fontId="14" fillId="2" borderId="1" applyAlignment="1" pivotButton="0" quotePrefix="0" xfId="0">
      <alignment horizontal="center" vertical="center" wrapText="1"/>
    </xf>
    <xf numFmtId="164" fontId="15" fillId="0" borderId="1" applyAlignment="1" pivotButton="0" quotePrefix="0" xfId="0">
      <alignment horizontal="right" vertical="bottom"/>
    </xf>
    <xf numFmtId="4" fontId="6" fillId="0" borderId="1" applyAlignment="1" pivotButton="0" quotePrefix="0" xfId="0">
      <alignment horizontal="right" vertical="bottom"/>
    </xf>
    <xf numFmtId="0" fontId="8" fillId="0" borderId="1" applyAlignment="1" pivotButton="0" quotePrefix="0" xfId="0">
      <alignment horizontal="general" vertical="bottom"/>
    </xf>
    <xf numFmtId="168" fontId="6" fillId="0" borderId="1" applyAlignment="1" pivotButton="0" quotePrefix="0" xfId="0">
      <alignment horizontal="right" vertical="bottom"/>
    </xf>
    <xf numFmtId="169" fontId="6" fillId="0" borderId="1" applyAlignment="1" pivotButton="0" quotePrefix="0" xfId="0">
      <alignment horizontal="right" vertical="bottom"/>
    </xf>
    <xf numFmtId="164" fontId="16" fillId="3" borderId="1" applyAlignment="1" pivotButton="0" quotePrefix="0" xfId="0">
      <alignment horizontal="right" vertical="bottom"/>
    </xf>
    <xf numFmtId="166" fontId="15" fillId="0" borderId="1" applyAlignment="1" pivotButton="0" quotePrefix="0" xfId="0">
      <alignment horizontal="right" vertical="bottom"/>
    </xf>
    <xf numFmtId="0" fontId="1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bottom"/>
    </xf>
    <xf numFmtId="10" fontId="6" fillId="0" borderId="1" applyAlignment="1" pivotButton="0" quotePrefix="0" xfId="0">
      <alignment horizontal="right" vertical="bottom"/>
    </xf>
    <xf numFmtId="10" fontId="8" fillId="3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right" vertical="bottom"/>
    </xf>
    <xf numFmtId="0" fontId="8" fillId="3" borderId="1" applyAlignment="1" pivotButton="0" quotePrefix="0" xfId="0">
      <alignment horizontal="general" vertical="bottom"/>
    </xf>
    <xf numFmtId="3" fontId="8" fillId="3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right" vertical="bottom"/>
    </xf>
    <xf numFmtId="0" fontId="6" fillId="0" borderId="1" applyAlignment="1" pivotButton="0" quotePrefix="0" xfId="0">
      <alignment horizontal="right" vertical="bottom"/>
    </xf>
    <xf numFmtId="0" fontId="11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165" fontId="6" fillId="0" borderId="1" applyAlignment="1" pivotButton="0" quotePrefix="0" xfId="0">
      <alignment horizontal="right" vertical="bottom"/>
    </xf>
    <xf numFmtId="0" fontId="0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 wrapText="1"/>
    </xf>
    <xf numFmtId="164" fontId="8" fillId="3" borderId="1" applyAlignment="1" pivotButton="0" quotePrefix="0" xfId="0">
      <alignment horizontal="right" vertical="bottom"/>
    </xf>
    <xf numFmtId="166" fontId="6" fillId="0" borderId="1" applyAlignment="1" pivotButton="0" quotePrefix="0" xfId="0">
      <alignment horizontal="right" vertical="bottom"/>
    </xf>
    <xf numFmtId="0" fontId="8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 indent="1"/>
    </xf>
    <xf numFmtId="0" fontId="13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 wrapText="1"/>
    </xf>
    <xf numFmtId="164" fontId="8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center" vertical="bottom"/>
    </xf>
    <xf numFmtId="167" fontId="6" fillId="0" borderId="1" applyAlignment="1" pivotButton="0" quotePrefix="0" xfId="0">
      <alignment horizontal="right" vertical="bottom"/>
    </xf>
    <xf numFmtId="0" fontId="14" fillId="2" borderId="1" applyAlignment="1" pivotButton="0" quotePrefix="0" xfId="0">
      <alignment horizontal="center" vertical="center" wrapText="1"/>
    </xf>
    <xf numFmtId="164" fontId="15" fillId="0" borderId="1" applyAlignment="1" pivotButton="0" quotePrefix="0" xfId="0">
      <alignment horizontal="right" vertical="bottom"/>
    </xf>
    <xf numFmtId="4" fontId="6" fillId="0" borderId="1" applyAlignment="1" pivotButton="0" quotePrefix="0" xfId="0">
      <alignment horizontal="right" vertical="bottom"/>
    </xf>
    <xf numFmtId="0" fontId="8" fillId="0" borderId="1" applyAlignment="1" pivotButton="0" quotePrefix="0" xfId="0">
      <alignment horizontal="general" vertical="bottom"/>
    </xf>
    <xf numFmtId="168" fontId="6" fillId="0" borderId="1" applyAlignment="1" pivotButton="0" quotePrefix="0" xfId="0">
      <alignment horizontal="right" vertical="bottom"/>
    </xf>
    <xf numFmtId="169" fontId="6" fillId="0" borderId="1" applyAlignment="1" pivotButton="0" quotePrefix="0" xfId="0">
      <alignment horizontal="right" vertical="bottom"/>
    </xf>
    <xf numFmtId="164" fontId="16" fillId="3" borderId="1" applyAlignment="1" pivotButton="0" quotePrefix="0" xfId="0">
      <alignment horizontal="right" vertical="bottom"/>
    </xf>
    <xf numFmtId="166" fontId="15" fillId="0" borderId="1" applyAlignment="1" pivotButton="0" quotePrefix="0" xfId="0">
      <alignment horizontal="right" vertical="bottom"/>
    </xf>
    <xf numFmtId="0" fontId="1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bottom"/>
    </xf>
    <xf numFmtId="10" fontId="6" fillId="0" borderId="1" applyAlignment="1" pivotButton="0" quotePrefix="0" xfId="0">
      <alignment horizontal="right" vertical="bottom"/>
    </xf>
    <xf numFmtId="10" fontId="8" fillId="3" borderId="1" applyAlignment="1" pivotButton="0" quotePrefix="0" xfId="0">
      <alignment horizontal="right" vertical="bottom"/>
    </xf>
    <xf numFmtId="0" fontId="18" fillId="0" borderId="0" pivotButton="0" quotePrefix="0" xfId="0"/>
    <xf numFmtId="0" fontId="19" fillId="0" borderId="0" pivotButton="0" quotePrefix="0" xfId="0"/>
    <xf numFmtId="0" fontId="20" fillId="5" borderId="2" applyAlignment="1" pivotButton="0" quotePrefix="0" xfId="0">
      <alignment indent="1"/>
    </xf>
    <xf numFmtId="0" fontId="20" fillId="5" borderId="2" applyAlignment="1" pivotButton="0" quotePrefix="0" xfId="0">
      <alignment horizontal="center"/>
    </xf>
    <xf numFmtId="0" fontId="21" fillId="6" borderId="0" applyAlignment="1" pivotButton="0" quotePrefix="0" xfId="0">
      <alignment indent="1"/>
    </xf>
    <xf numFmtId="0" fontId="22" fillId="0" borderId="2" applyAlignment="1" pivotButton="0" quotePrefix="0" xfId="0">
      <alignment wrapText="1" indent="1"/>
    </xf>
    <xf numFmtId="170" fontId="22" fillId="0" borderId="2" applyAlignment="1" pivotButton="0" quotePrefix="0" xfId="0">
      <alignment horizontal="right"/>
    </xf>
    <xf numFmtId="0" fontId="21" fillId="7" borderId="2" applyAlignment="1" pivotButton="0" quotePrefix="0" xfId="0">
      <alignment wrapText="1" indent="1"/>
    </xf>
    <xf numFmtId="170" fontId="21" fillId="7" borderId="2" applyAlignment="1" pivotButton="0" quotePrefix="0" xfId="0">
      <alignment horizontal="right"/>
    </xf>
    <xf numFmtId="0" fontId="23" fillId="5" borderId="2" applyAlignment="1" pivotButton="0" quotePrefix="0" xfId="0">
      <alignment horizontal="left" indent="1"/>
    </xf>
    <xf numFmtId="0" fontId="23" fillId="5" borderId="2" applyAlignment="1" pivotButton="0" quotePrefix="0" xfId="0">
      <alignment horizontal="center"/>
    </xf>
    <xf numFmtId="0" fontId="24" fillId="0" borderId="2" applyAlignment="1" pivotButton="0" quotePrefix="0" xfId="0">
      <alignment wrapText="1" indent="1"/>
    </xf>
    <xf numFmtId="170" fontId="24" fillId="0" borderId="2" applyAlignment="1" pivotButton="0" quotePrefix="0" xfId="0">
      <alignment horizontal="right"/>
    </xf>
    <xf numFmtId="0" fontId="25" fillId="6" borderId="0" applyAlignment="1" pivotButton="0" quotePrefix="0" xfId="0">
      <alignment indent="1"/>
    </xf>
    <xf numFmtId="0" fontId="26" fillId="7" borderId="2" applyAlignment="1" pivotButton="0" quotePrefix="0" xfId="0">
      <alignment wrapText="1" indent="1"/>
    </xf>
    <xf numFmtId="170" fontId="26" fillId="7" borderId="2" applyAlignment="1" pivotButton="0" quotePrefix="0" xfId="0">
      <alignment horizontal="right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9A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45" min="1" max="1"/>
    <col width="60" customWidth="1" style="45" min="2" max="2"/>
    <col width="58" customWidth="1" style="45" min="3" max="3"/>
  </cols>
  <sheetData>
    <row r="2" ht="29.15" customHeight="1" s="46">
      <c r="B2" s="47" t="inlineStr">
        <is>
          <t>ZEPTO LIMITED</t>
        </is>
      </c>
    </row>
    <row r="3" ht="15" customHeight="1" s="46">
      <c r="B3" s="48" t="inlineStr">
        <is>
          <t>Financial Metrics &amp; Data Pack - extracted from the IPO DRHP</t>
        </is>
      </c>
    </row>
    <row r="5" ht="15" customHeight="1" s="46">
      <c r="B5" s="49" t="inlineStr">
        <is>
          <t>Document</t>
        </is>
      </c>
      <c r="C5" s="50" t="inlineStr">
        <is>
          <t>Updated Draft Red Herring Prospectus - I (UDRHP-I)</t>
        </is>
      </c>
    </row>
    <row r="6" ht="15" customHeight="1" s="46">
      <c r="B6" s="49" t="inlineStr">
        <is>
          <t>Dated</t>
        </is>
      </c>
      <c r="C6" s="50" t="inlineStr">
        <is>
          <t>June 8, 2026</t>
        </is>
      </c>
    </row>
    <row r="7" ht="15" customHeight="1" s="46">
      <c r="B7" s="49" t="inlineStr">
        <is>
          <t>Currency</t>
        </is>
      </c>
      <c r="C7" s="50" t="inlineStr">
        <is>
          <t>Rs. million unless stated. 100 million = Rs.1,000 mn = Rs.100 crore</t>
        </is>
      </c>
    </row>
    <row r="8" ht="15" customHeight="1" s="46">
      <c r="B8" s="49" t="inlineStr">
        <is>
          <t>CIN</t>
        </is>
      </c>
      <c r="C8" s="50" t="inlineStr">
        <is>
          <t>U46909MH2020PLC351339</t>
        </is>
      </c>
    </row>
    <row r="9" ht="15" customHeight="1" s="46">
      <c r="B9" s="49" t="inlineStr">
        <is>
          <t>Statutory Auditors</t>
        </is>
      </c>
      <c r="C9" s="50" t="inlineStr">
        <is>
          <t>S.R. Batliboi &amp; Associates LLP</t>
        </is>
      </c>
    </row>
    <row r="10" ht="15" customHeight="1" s="46">
      <c r="B10" s="49" t="inlineStr">
        <is>
          <t>Legal counsel</t>
        </is>
      </c>
      <c r="C10" s="50" t="inlineStr">
        <is>
          <t>Cyril Amarchand Mangaldas</t>
        </is>
      </c>
    </row>
    <row r="11" ht="15" customHeight="1" s="46">
      <c r="B11" s="49" t="inlineStr">
        <is>
          <t>Fiscal year</t>
        </is>
      </c>
      <c r="C11" s="50" t="inlineStr">
        <is>
          <t>Ends March 31. FY26 = year ended 31-Mar-2026</t>
        </is>
      </c>
    </row>
    <row r="12" ht="15" customHeight="1" s="46">
      <c r="B12" s="49" t="n"/>
      <c r="C12" s="50" t="n"/>
    </row>
    <row r="13" ht="15" customHeight="1" s="46">
      <c r="B13" s="51" t="inlineStr">
        <is>
          <t>CONTENTS</t>
        </is>
      </c>
      <c r="C13" s="50" t="n"/>
    </row>
    <row r="14" ht="15" customHeight="1" s="46">
      <c r="B14" s="52" t="inlineStr">
        <is>
          <t>1. Offer Snapshot</t>
        </is>
      </c>
      <c r="C14" s="50" t="inlineStr">
        <is>
          <t>IPO structure, size, selling shareholders, use of proceeds</t>
        </is>
      </c>
    </row>
    <row r="15" ht="15" customHeight="1" s="46">
      <c r="B15" s="52" t="inlineStr">
        <is>
          <t>2. P&amp;L (Annual)</t>
        </is>
      </c>
      <c r="C15" s="50" t="inlineStr">
        <is>
          <t>Restated consolidated statement of profit &amp; loss, FY24-FY26</t>
        </is>
      </c>
    </row>
    <row r="16" ht="15" customHeight="1" s="46">
      <c r="B16" s="52" t="inlineStr">
        <is>
          <t>3. Balance Sheet (Annual)</t>
        </is>
      </c>
      <c r="C16" s="50" t="inlineStr">
        <is>
          <t>Restated assets, liabilities &amp; equity, FY24-FY26</t>
        </is>
      </c>
    </row>
    <row r="17" ht="15" customHeight="1" s="46">
      <c r="B17" s="52" t="inlineStr">
        <is>
          <t>4. Cash Flow (Annual)</t>
        </is>
      </c>
      <c r="C17" s="50" t="inlineStr">
        <is>
          <t>Restated cash flows, FY24-FY26</t>
        </is>
      </c>
    </row>
    <row r="18" ht="15" customHeight="1" s="46">
      <c r="B18" s="52" t="inlineStr">
        <is>
          <t>5. KPIs (Annual)</t>
        </is>
      </c>
      <c r="C18" s="50" t="inlineStr">
        <is>
          <t>Operational &amp; financial KPIs</t>
        </is>
      </c>
    </row>
    <row r="19" ht="15" customHeight="1" s="46">
      <c r="B19" s="52" t="inlineStr">
        <is>
          <t>6. KPIs (Quarterly)</t>
        </is>
      </c>
      <c r="C19" s="50" t="inlineStr">
        <is>
          <t>Operational KPIs across 12 quarters</t>
        </is>
      </c>
    </row>
    <row r="20" ht="15" customHeight="1" s="46">
      <c r="B20" s="52" t="inlineStr">
        <is>
          <t>7. Key Ratios &amp; Peers</t>
        </is>
      </c>
      <c r="C20" s="50" t="inlineStr">
        <is>
          <t>EPS, NAV, RoNW, EBITDA, peer comparison</t>
        </is>
      </c>
    </row>
    <row r="21" ht="15" customHeight="1" s="46">
      <c r="B21" s="52" t="inlineStr">
        <is>
          <t>8. Revenue Breakdown</t>
        </is>
      </c>
      <c r="C21" s="50" t="inlineStr">
        <is>
          <t>Disaggregated revenue by stream</t>
        </is>
      </c>
    </row>
    <row r="22" ht="15" customHeight="1" s="46">
      <c r="B22" s="52" t="inlineStr">
        <is>
          <t>9. P&amp;L (Quarterly)</t>
        </is>
      </c>
      <c r="C22" s="50" t="inlineStr">
        <is>
          <t>12 quarters, Q1FY24-Q4FY26</t>
        </is>
      </c>
    </row>
    <row r="23" ht="15" customHeight="1" s="46">
      <c r="B23" s="52" t="inlineStr">
        <is>
          <t>10. Balance Sheet (Quarterly)</t>
        </is>
      </c>
      <c r="C23" s="50" t="inlineStr">
        <is>
          <t>12 quarters</t>
        </is>
      </c>
    </row>
    <row r="24" ht="15" customHeight="1" s="46">
      <c r="B24" s="52" t="inlineStr">
        <is>
          <t>11. Shareholding</t>
        </is>
      </c>
      <c r="C24" s="50" t="inlineStr">
        <is>
          <t>Holders &gt;1%, promoter holding</t>
        </is>
      </c>
    </row>
    <row r="25" ht="15" customHeight="1" s="46">
      <c r="B25" s="52" t="inlineStr">
        <is>
          <t>Source</t>
        </is>
      </c>
      <c r="C25" s="50" t="inlineStr">
        <is>
          <t>All figures sourced from the Zepto UDRHP-I dated 8 June 2026.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0" customWidth="1" style="45" min="1" max="1"/>
    <col width="46" customWidth="1" style="45" min="2" max="2"/>
  </cols>
  <sheetData>
    <row r="1" ht="19.5" customHeight="1" s="46">
      <c r="A1" s="53" t="inlineStr">
        <is>
          <t>Offer Snapshot</t>
        </is>
      </c>
    </row>
    <row r="2" ht="15" customHeight="1" s="46">
      <c r="A2" s="54" t="inlineStr">
        <is>
          <t>Zepto Limited IPO - UDRHP-I dated 8 June 2026 (Rs. in million unless stated)</t>
        </is>
      </c>
    </row>
    <row r="4" ht="15" customHeight="1" s="46">
      <c r="A4" s="55" t="inlineStr">
        <is>
          <t>Particulars</t>
        </is>
      </c>
      <c r="B4" s="55" t="inlineStr">
        <is>
          <t>Detail</t>
        </is>
      </c>
    </row>
    <row r="5" ht="15" customHeight="1" s="46">
      <c r="A5" s="56" t="inlineStr">
        <is>
          <t>Offer type</t>
        </is>
      </c>
      <c r="B5" s="56" t="inlineStr">
        <is>
          <t>Fresh Issue + Offer for Sale (100% Book Built)</t>
        </is>
      </c>
    </row>
    <row r="6" ht="15" customHeight="1" s="46">
      <c r="A6" s="56" t="inlineStr">
        <is>
          <t>Fresh Issue size</t>
        </is>
      </c>
      <c r="B6" s="56" t="inlineStr">
        <is>
          <t>Rs.80,100.00 mn (~Rs.8,010 crore)</t>
        </is>
      </c>
    </row>
    <row r="7" ht="15" customHeight="1" s="46">
      <c r="A7" s="56" t="inlineStr">
        <is>
          <t>Offer for Sale (OFS)</t>
        </is>
      </c>
      <c r="B7" s="56" t="inlineStr">
        <is>
          <t>Up to 113,466,566 equity shares (price TBD)</t>
        </is>
      </c>
    </row>
    <row r="8" ht="15" customHeight="1" s="46">
      <c r="A8" s="56" t="inlineStr">
        <is>
          <t>Face value</t>
        </is>
      </c>
      <c r="B8" s="56" t="inlineStr">
        <is>
          <t>Rs.5 per equity share</t>
        </is>
      </c>
    </row>
    <row r="9" ht="15" customHeight="1" s="46">
      <c r="A9" s="56" t="inlineStr">
        <is>
          <t>Pre-IPO placement (optional)</t>
        </is>
      </c>
      <c r="B9" s="56" t="inlineStr">
        <is>
          <t>Up to Rs.16,020.00 mn (&lt;=20% of Fresh Issue)</t>
        </is>
      </c>
    </row>
    <row r="10" ht="15" customHeight="1" s="46">
      <c r="A10" s="56" t="inlineStr">
        <is>
          <t>Shares o/s pre-Offer (pre-conversion)</t>
        </is>
      </c>
      <c r="B10" s="56" t="inlineStr">
        <is>
          <t>3,557,404,924</t>
        </is>
      </c>
    </row>
    <row r="11" ht="15" customHeight="1" s="46">
      <c r="A11" s="56" t="inlineStr">
        <is>
          <t>Shares o/s pre-Offer (post pref. conversion)</t>
        </is>
      </c>
      <c r="B11" s="56" t="inlineStr">
        <is>
          <t>12,603,195,213</t>
        </is>
      </c>
    </row>
    <row r="12" ht="15" customHeight="1" s="46">
      <c r="A12" s="56" t="inlineStr">
        <is>
          <t>Offer authorised by Board</t>
        </is>
      </c>
      <c r="B12" s="56" t="inlineStr">
        <is>
          <t>December 18, 2025</t>
        </is>
      </c>
    </row>
    <row r="13" ht="15" customHeight="1" s="46">
      <c r="A13" s="56" t="inlineStr">
        <is>
          <t>Fresh Issue authorised by shareholders</t>
        </is>
      </c>
      <c r="B13" s="56" t="inlineStr">
        <is>
          <t>December 23, 2025</t>
        </is>
      </c>
    </row>
    <row r="14" ht="23.85" customHeight="1" s="46">
      <c r="A14" s="56" t="inlineStr">
        <is>
          <t>BRLMs</t>
        </is>
      </c>
      <c r="B14" s="56" t="inlineStr">
        <is>
          <t>Axis Capital, Morgan Stanley, Goldman Sachs, Motilal Oswal, HSBC, JM Financial, IIFL</t>
        </is>
      </c>
    </row>
    <row r="15" ht="15" customHeight="1" s="46">
      <c r="A15" s="56" t="inlineStr">
        <is>
          <t>Registrar</t>
        </is>
      </c>
      <c r="B15" s="56" t="inlineStr">
        <is>
          <t>KFin Technologies Limited</t>
        </is>
      </c>
    </row>
    <row r="16" ht="15" customHeight="1" s="46">
      <c r="A16" s="56" t="inlineStr">
        <is>
          <t>Statutory Auditor</t>
        </is>
      </c>
      <c r="B16" s="56" t="inlineStr">
        <is>
          <t>S.R. Batliboi &amp; Associates LLP</t>
        </is>
      </c>
    </row>
    <row r="18" ht="15" customHeight="1" s="46">
      <c r="A18" s="57" t="inlineStr">
        <is>
          <t>Selling Shareholders (Offer for Sale)</t>
        </is>
      </c>
    </row>
    <row r="19" ht="15" customHeight="1" s="46">
      <c r="A19" s="55" t="inlineStr">
        <is>
          <t>Selling Shareholder</t>
        </is>
      </c>
      <c r="B19" s="55" t="inlineStr">
        <is>
          <t>Max Offered Shares</t>
        </is>
      </c>
    </row>
    <row r="20" ht="15" customHeight="1" s="46">
      <c r="A20" s="58" t="inlineStr">
        <is>
          <t>Nexus Ventures VI Holdings, LLC</t>
        </is>
      </c>
      <c r="B20" s="59" t="n">
        <v>57357141</v>
      </c>
    </row>
    <row r="21" ht="15" customHeight="1" s="46">
      <c r="A21" s="58" t="inlineStr">
        <is>
          <t>Nexus Ventures VII Holdings, LLC</t>
        </is>
      </c>
      <c r="B21" s="59" t="n">
        <v>30398907</v>
      </c>
    </row>
    <row r="22" ht="15" customHeight="1" s="46">
      <c r="A22" s="58" t="inlineStr">
        <is>
          <t>Contrary ZEP Holdings LLC</t>
        </is>
      </c>
      <c r="B22" s="59" t="n">
        <v>7801378</v>
      </c>
    </row>
    <row r="23" ht="15" customHeight="1" s="46">
      <c r="A23" s="58" t="inlineStr">
        <is>
          <t>Razor Ventures Zepto LLC</t>
        </is>
      </c>
      <c r="B23" s="59" t="n">
        <v>9364174</v>
      </c>
    </row>
    <row r="24" ht="15" customHeight="1" s="46">
      <c r="A24" s="58" t="inlineStr">
        <is>
          <t>Kaiser Foundation Hospitals</t>
        </is>
      </c>
      <c r="B24" s="59" t="n">
        <v>4385912</v>
      </c>
    </row>
    <row r="25" ht="15" customHeight="1" s="46">
      <c r="A25" s="58" t="inlineStr">
        <is>
          <t>Kaiser Permanente Group Trust</t>
        </is>
      </c>
      <c r="B25" s="59" t="n">
        <v>4159054</v>
      </c>
    </row>
    <row r="26" ht="15" customHeight="1" s="46">
      <c r="A26" s="60" t="inlineStr">
        <is>
          <t>Total</t>
        </is>
      </c>
      <c r="B26" s="61">
        <f>SUM(B20:B25)</f>
        <v/>
      </c>
    </row>
    <row r="28" ht="15" customHeight="1" s="46">
      <c r="A28" s="57" t="inlineStr">
        <is>
          <t>Use of Net Proceeds (Fresh Issue, Rs. million)</t>
        </is>
      </c>
    </row>
    <row r="29" ht="15" customHeight="1" s="46">
      <c r="A29" s="55" t="inlineStr">
        <is>
          <t>Object</t>
        </is>
      </c>
      <c r="B29" s="55" t="inlineStr">
        <is>
          <t>Amount from Net Proceeds</t>
        </is>
      </c>
    </row>
    <row r="30" ht="15" customHeight="1" s="46">
      <c r="A30" s="56" t="inlineStr">
        <is>
          <t>Expansion of dark store network (new dark stores)</t>
        </is>
      </c>
      <c r="B30" s="62" t="n">
        <v>16289.75</v>
      </c>
    </row>
    <row r="31" ht="15" customHeight="1" s="46">
      <c r="A31" s="56" t="inlineStr">
        <is>
          <t>Lease rentals of existing dark stores</t>
        </is>
      </c>
      <c r="B31" s="62" t="n">
        <v>17349.41</v>
      </c>
    </row>
    <row r="32" ht="15" customHeight="1" s="46">
      <c r="A32" s="56" t="inlineStr">
        <is>
          <t>Investment in technology &amp; cloud infrastructure</t>
        </is>
      </c>
      <c r="B32" s="62" t="n">
        <v>13247.83</v>
      </c>
    </row>
    <row r="33" ht="23.85" customHeight="1" s="46">
      <c r="A33" s="56" t="inlineStr">
        <is>
          <t>Investment in subsidiary Zepto Marketplace (marketing/brand)</t>
        </is>
      </c>
      <c r="B33" s="62" t="n">
        <v>5200</v>
      </c>
    </row>
    <row r="34" ht="15" customHeight="1" s="46">
      <c r="A34" s="56" t="inlineStr">
        <is>
          <t>Inorganic growth &amp; general corporate purposes</t>
        </is>
      </c>
      <c r="B34" s="63" t="inlineStr">
        <is>
          <t>[*] (&lt;=35% of gross proceeds)</t>
        </is>
      </c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45" min="1" max="1"/>
    <col width="16" customWidth="1" style="45" min="2" max="4"/>
    <col width="14" customWidth="1" style="45" min="5" max="5"/>
  </cols>
  <sheetData>
    <row r="1" ht="19.5" customHeight="1" s="46">
      <c r="A1" s="53" t="inlineStr">
        <is>
          <t>Restated Consolidated Statement of Profit &amp; Loss</t>
        </is>
      </c>
    </row>
    <row r="2" ht="15" customHeight="1" s="46">
      <c r="A2" s="54" t="inlineStr">
        <is>
          <t>Rs. in million unless stated | FY = year ended March 31</t>
        </is>
      </c>
    </row>
    <row r="4" ht="26.85" customHeight="1" s="46">
      <c r="A4" s="55" t="inlineStr">
        <is>
          <t>Particulars</t>
        </is>
      </c>
      <c r="B4" s="55" t="inlineStr">
        <is>
          <t>FY2026</t>
        </is>
      </c>
      <c r="C4" s="55" t="inlineStr">
        <is>
          <t>FY2025</t>
        </is>
      </c>
      <c r="D4" s="55" t="inlineStr">
        <is>
          <t>FY2024</t>
        </is>
      </c>
      <c r="E4" s="55" t="inlineStr">
        <is>
          <t>FY24-26 CAGR</t>
        </is>
      </c>
    </row>
    <row r="5" ht="15" customHeight="1" s="46">
      <c r="A5" s="64" t="inlineStr">
        <is>
          <t>INCOME</t>
        </is>
      </c>
      <c r="B5" s="65" t="n"/>
      <c r="C5" s="65" t="n"/>
      <c r="D5" s="65" t="n"/>
      <c r="E5" s="65" t="n"/>
    </row>
    <row r="6" ht="15" customHeight="1" s="46">
      <c r="A6" s="56" t="inlineStr">
        <is>
          <t>Revenue from operations</t>
        </is>
      </c>
      <c r="B6" s="62" t="n">
        <v>226235.84</v>
      </c>
      <c r="C6" s="62" t="n">
        <v>111099.47</v>
      </c>
      <c r="D6" s="62" t="n">
        <v>44545.16</v>
      </c>
      <c r="E6" s="66">
        <f>(B6/D6)^(1/2)-1</f>
        <v/>
      </c>
    </row>
    <row r="7" ht="15" customHeight="1" s="46">
      <c r="A7" s="56" t="inlineStr">
        <is>
          <t>Other income</t>
        </is>
      </c>
      <c r="B7" s="62" t="n">
        <v>5047.94</v>
      </c>
      <c r="C7" s="62" t="n">
        <v>4928.07</v>
      </c>
      <c r="D7" s="62" t="n">
        <v>896.5599999999999</v>
      </c>
      <c r="E7" s="67" t="n"/>
    </row>
    <row r="8" ht="15" customHeight="1" s="46">
      <c r="A8" s="68" t="inlineStr">
        <is>
          <t>Total income</t>
        </is>
      </c>
      <c r="B8" s="69" t="n">
        <v>231283.78</v>
      </c>
      <c r="C8" s="69" t="n">
        <v>116027.54</v>
      </c>
      <c r="D8" s="69" t="n">
        <v>45441.72</v>
      </c>
      <c r="E8" s="67" t="n"/>
    </row>
    <row r="9" ht="15" customHeight="1" s="46">
      <c r="A9" s="64" t="inlineStr">
        <is>
          <t>EXPENSES</t>
        </is>
      </c>
      <c r="B9" s="65" t="n"/>
      <c r="C9" s="65" t="n"/>
      <c r="D9" s="65" t="n"/>
      <c r="E9" s="65" t="n"/>
    </row>
    <row r="10" ht="15" customHeight="1" s="46">
      <c r="A10" s="56" t="inlineStr">
        <is>
          <t>Purchase of traded goods</t>
        </is>
      </c>
      <c r="B10" s="62" t="n">
        <v>184849.75</v>
      </c>
      <c r="C10" s="62" t="n">
        <v>100260.18</v>
      </c>
      <c r="D10" s="62" t="n">
        <v>34626.73</v>
      </c>
      <c r="E10" s="67" t="n"/>
    </row>
    <row r="11" ht="15" customHeight="1" s="46">
      <c r="A11" s="56" t="inlineStr">
        <is>
          <t>Change in inventories of traded goods</t>
        </is>
      </c>
      <c r="B11" s="62" t="n">
        <v>-2866.07</v>
      </c>
      <c r="C11" s="62" t="n">
        <v>-4838.95</v>
      </c>
      <c r="D11" s="62" t="n">
        <v>311.86</v>
      </c>
      <c r="E11" s="67" t="n"/>
    </row>
    <row r="12" ht="15" customHeight="1" s="46">
      <c r="A12" s="56" t="inlineStr">
        <is>
          <t>Delivery and handling expense</t>
        </is>
      </c>
      <c r="B12" s="62" t="n">
        <v>30463.41</v>
      </c>
      <c r="C12" s="62" t="n">
        <v>15989.35</v>
      </c>
      <c r="D12" s="62" t="n">
        <v>5808.72</v>
      </c>
      <c r="E12" s="67" t="n"/>
    </row>
    <row r="13" ht="15" customHeight="1" s="46">
      <c r="A13" s="56" t="inlineStr">
        <is>
          <t>Employee benefits expense</t>
        </is>
      </c>
      <c r="B13" s="62" t="n">
        <v>17846.67</v>
      </c>
      <c r="C13" s="62" t="n">
        <v>12406.43</v>
      </c>
      <c r="D13" s="62" t="n">
        <v>4261.94</v>
      </c>
      <c r="E13" s="67" t="n"/>
    </row>
    <row r="14" ht="15" customHeight="1" s="46">
      <c r="A14" s="56" t="inlineStr">
        <is>
          <t>Finance costs</t>
        </is>
      </c>
      <c r="B14" s="62" t="n">
        <v>2647.91</v>
      </c>
      <c r="C14" s="62" t="n">
        <v>1377.08</v>
      </c>
      <c r="D14" s="62" t="n">
        <v>568.9400000000001</v>
      </c>
      <c r="E14" s="67" t="n"/>
    </row>
    <row r="15" ht="15" customHeight="1" s="46">
      <c r="A15" s="56" t="inlineStr">
        <is>
          <t>Depreciation and amortisation expense</t>
        </is>
      </c>
      <c r="B15" s="62" t="n">
        <v>8942.559999999999</v>
      </c>
      <c r="C15" s="62" t="n">
        <v>4040.75</v>
      </c>
      <c r="D15" s="62" t="n">
        <v>1209.8</v>
      </c>
      <c r="E15" s="67" t="n"/>
    </row>
    <row r="16" ht="15" customHeight="1" s="46">
      <c r="A16" s="56" t="inlineStr">
        <is>
          <t>Other expenses</t>
        </is>
      </c>
      <c r="B16" s="62" t="n">
        <v>48383.23</v>
      </c>
      <c r="C16" s="62" t="n">
        <v>33175.85</v>
      </c>
      <c r="D16" s="62" t="n">
        <v>10724.15</v>
      </c>
      <c r="E16" s="67" t="n"/>
    </row>
    <row r="17" ht="15" customHeight="1" s="46">
      <c r="A17" s="68" t="inlineStr">
        <is>
          <t>Total expenses</t>
        </is>
      </c>
      <c r="B17" s="69" t="n">
        <v>290267.46</v>
      </c>
      <c r="C17" s="69" t="n">
        <v>162410.69</v>
      </c>
      <c r="D17" s="69" t="n">
        <v>57512.14</v>
      </c>
      <c r="E17" s="67" t="n"/>
    </row>
    <row r="18" ht="15" customHeight="1" s="46">
      <c r="A18" s="68" t="inlineStr">
        <is>
          <t>Restated loss before exceptional items &amp; tax</t>
        </is>
      </c>
      <c r="B18" s="69" t="n">
        <v>-58983.68</v>
      </c>
      <c r="C18" s="69" t="n">
        <v>-46383.15</v>
      </c>
      <c r="D18" s="69" t="n">
        <v>-12070.42</v>
      </c>
      <c r="E18" s="67" t="n"/>
    </row>
    <row r="19" ht="15" customHeight="1" s="46">
      <c r="A19" s="56" t="inlineStr">
        <is>
          <t>Exceptional items</t>
        </is>
      </c>
      <c r="B19" s="62" t="n">
        <v>68.23999999999999</v>
      </c>
      <c r="C19" s="62" t="n">
        <v>571.1799999999999</v>
      </c>
      <c r="D19" s="62" t="n">
        <v>0</v>
      </c>
      <c r="E19" s="67" t="n"/>
    </row>
    <row r="20" ht="15" customHeight="1" s="46">
      <c r="A20" s="68" t="inlineStr">
        <is>
          <t>Restated loss before tax</t>
        </is>
      </c>
      <c r="B20" s="69" t="n">
        <v>-59051.92</v>
      </c>
      <c r="C20" s="69" t="n">
        <v>-46954.33</v>
      </c>
      <c r="D20" s="69" t="n">
        <v>-12070.42</v>
      </c>
      <c r="E20" s="67" t="n"/>
    </row>
    <row r="21" ht="15" customHeight="1" s="46">
      <c r="A21" s="56" t="inlineStr">
        <is>
          <t>Total tax expense</t>
        </is>
      </c>
      <c r="B21" s="62" t="n">
        <v>0</v>
      </c>
      <c r="C21" s="62" t="n">
        <v>42.81</v>
      </c>
      <c r="D21" s="62" t="n">
        <v>77.52</v>
      </c>
      <c r="E21" s="67" t="n"/>
    </row>
    <row r="22" ht="15" customHeight="1" s="46">
      <c r="A22" s="68" t="inlineStr">
        <is>
          <t>Restated loss for the year</t>
        </is>
      </c>
      <c r="B22" s="69" t="n">
        <v>-59051.92</v>
      </c>
      <c r="C22" s="69" t="n">
        <v>-46997.14</v>
      </c>
      <c r="D22" s="69" t="n">
        <v>-12147.94</v>
      </c>
      <c r="E22" s="67" t="n"/>
    </row>
    <row r="23" ht="15" customHeight="1" s="46">
      <c r="A23" s="56" t="inlineStr">
        <is>
          <t>Other comprehensive income/(loss), net of tax</t>
        </is>
      </c>
      <c r="B23" s="62" t="n">
        <v>182.56</v>
      </c>
      <c r="C23" s="62" t="n">
        <v>-76.45999999999999</v>
      </c>
      <c r="D23" s="62" t="n">
        <v>-39.64</v>
      </c>
      <c r="E23" s="67" t="n"/>
    </row>
    <row r="24" ht="15" customHeight="1" s="46">
      <c r="A24" s="68" t="inlineStr">
        <is>
          <t>Restated total comprehensive loss for the year</t>
        </is>
      </c>
      <c r="B24" s="69" t="n">
        <v>-58869.36</v>
      </c>
      <c r="C24" s="69" t="n">
        <v>-47073.6</v>
      </c>
      <c r="D24" s="69" t="n">
        <v>-12187.58</v>
      </c>
      <c r="E24" s="67" t="n"/>
    </row>
    <row r="25" ht="15" customHeight="1" s="46">
      <c r="A25" s="56" t="inlineStr">
        <is>
          <t>Basic &amp; diluted EPS (Rs., face value Rs.5)</t>
        </is>
      </c>
      <c r="B25" s="70" t="n">
        <v>-5.05</v>
      </c>
      <c r="C25" s="70" t="n">
        <v>-3.64</v>
      </c>
      <c r="D25" s="70" t="n">
        <v>-1.14</v>
      </c>
      <c r="E25" s="67" t="n"/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4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8" customWidth="1" style="45" min="1" max="1"/>
    <col width="16" customWidth="1" style="45" min="2" max="4"/>
  </cols>
  <sheetData>
    <row r="1" ht="19.5" customHeight="1" s="46">
      <c r="A1" s="53" t="inlineStr">
        <is>
          <t>Restated Consolidated Statement of Assets &amp; Liabilities</t>
        </is>
      </c>
    </row>
    <row r="2" ht="15" customHeight="1" s="46">
      <c r="A2" s="54" t="inlineStr">
        <is>
          <t>Rs. in million | as at March 31</t>
        </is>
      </c>
    </row>
    <row r="4" ht="15" customHeight="1" s="46">
      <c r="A4" s="55" t="inlineStr">
        <is>
          <t>Particulars</t>
        </is>
      </c>
      <c r="B4" s="55" t="inlineStr">
        <is>
          <t>FY2026</t>
        </is>
      </c>
      <c r="C4" s="55" t="inlineStr">
        <is>
          <t>FY2025</t>
        </is>
      </c>
      <c r="D4" s="55" t="inlineStr">
        <is>
          <t>FY2024</t>
        </is>
      </c>
    </row>
    <row r="5" ht="15" customHeight="1" s="46">
      <c r="A5" s="64" t="inlineStr">
        <is>
          <t>ASSETS</t>
        </is>
      </c>
      <c r="B5" s="65" t="n"/>
      <c r="C5" s="65" t="n"/>
      <c r="D5" s="65" t="n"/>
    </row>
    <row r="6" ht="15" customHeight="1" s="46">
      <c r="A6" s="71" t="inlineStr">
        <is>
          <t>Non-current assets</t>
        </is>
      </c>
      <c r="B6" s="72" t="n"/>
      <c r="C6" s="72" t="n"/>
      <c r="D6" s="72" t="n"/>
    </row>
    <row r="7" ht="15" customHeight="1" s="46">
      <c r="A7" s="73" t="inlineStr">
        <is>
          <t>Property, plant and equipment (net)</t>
        </is>
      </c>
      <c r="B7" s="62" t="n">
        <v>8814.530000000001</v>
      </c>
      <c r="C7" s="62" t="n">
        <v>8940.9</v>
      </c>
      <c r="D7" s="62" t="n">
        <v>1457.05</v>
      </c>
    </row>
    <row r="8" ht="15" customHeight="1" s="46">
      <c r="A8" s="73" t="inlineStr">
        <is>
          <t>Capital work in progress</t>
        </is>
      </c>
      <c r="B8" s="62" t="n">
        <v>403.56</v>
      </c>
      <c r="C8" s="62" t="n">
        <v>44.18</v>
      </c>
      <c r="D8" s="62" t="n">
        <v>2.45</v>
      </c>
    </row>
    <row r="9" ht="15" customHeight="1" s="46">
      <c r="A9" s="73" t="inlineStr">
        <is>
          <t>Right-of-use (ROU) assets</t>
        </is>
      </c>
      <c r="B9" s="62" t="n">
        <v>25062.14</v>
      </c>
      <c r="C9" s="62" t="n">
        <v>21056.47</v>
      </c>
      <c r="D9" s="62" t="n">
        <v>3169.13</v>
      </c>
    </row>
    <row r="10" ht="15" customHeight="1" s="46">
      <c r="A10" s="73" t="inlineStr">
        <is>
          <t>Intangible assets (net)</t>
        </is>
      </c>
      <c r="B10" s="62" t="n">
        <v>1757.42</v>
      </c>
      <c r="C10" s="62" t="n">
        <v>57.45</v>
      </c>
      <c r="D10" s="62" t="n">
        <v>53.53</v>
      </c>
    </row>
    <row r="11" ht="15" customHeight="1" s="46">
      <c r="A11" s="73" t="inlineStr">
        <is>
          <t>Intangible assets under development</t>
        </is>
      </c>
      <c r="B11" s="62" t="n">
        <v>218.73</v>
      </c>
      <c r="C11" s="62" t="n">
        <v>0</v>
      </c>
      <c r="D11" s="62" t="n">
        <v>0</v>
      </c>
    </row>
    <row r="12" ht="15" customHeight="1" s="46">
      <c r="A12" s="73" t="inlineStr">
        <is>
          <t>Other financial assets (non-current)</t>
        </is>
      </c>
      <c r="B12" s="62" t="n">
        <v>1722.39</v>
      </c>
      <c r="C12" s="62" t="n">
        <v>5782.62</v>
      </c>
      <c r="D12" s="62" t="n">
        <v>489.11</v>
      </c>
    </row>
    <row r="13" ht="15" customHeight="1" s="46">
      <c r="A13" s="73" t="inlineStr">
        <is>
          <t>Income tax assets (net)</t>
        </is>
      </c>
      <c r="B13" s="62" t="n">
        <v>685.9299999999999</v>
      </c>
      <c r="C13" s="62" t="n">
        <v>691.12</v>
      </c>
      <c r="D13" s="62" t="n">
        <v>114.87</v>
      </c>
    </row>
    <row r="14" ht="15" customHeight="1" s="46">
      <c r="A14" s="73" t="inlineStr">
        <is>
          <t>Other non-current assets</t>
        </is>
      </c>
      <c r="B14" s="62" t="n">
        <v>51.89</v>
      </c>
      <c r="C14" s="62" t="n">
        <v>178.65</v>
      </c>
      <c r="D14" s="62" t="n">
        <v>57.27</v>
      </c>
    </row>
    <row r="15" ht="15" customHeight="1" s="46">
      <c r="A15" s="68" t="inlineStr">
        <is>
          <t>Total non-current assets</t>
        </is>
      </c>
      <c r="B15" s="69" t="n">
        <v>38716.59</v>
      </c>
      <c r="C15" s="69" t="n">
        <v>36751.39</v>
      </c>
      <c r="D15" s="69" t="n">
        <v>5343.41</v>
      </c>
    </row>
    <row r="16" ht="15" customHeight="1" s="46">
      <c r="A16" s="71" t="inlineStr">
        <is>
          <t>Current assets</t>
        </is>
      </c>
      <c r="B16" s="72" t="n"/>
      <c r="C16" s="72" t="n"/>
      <c r="D16" s="72" t="n"/>
    </row>
    <row r="17" ht="15" customHeight="1" s="46">
      <c r="A17" s="73" t="inlineStr">
        <is>
          <t>Inventories</t>
        </is>
      </c>
      <c r="B17" s="62" t="n">
        <v>8970.49</v>
      </c>
      <c r="C17" s="62" t="n">
        <v>6104.42</v>
      </c>
      <c r="D17" s="62" t="n">
        <v>1265.47</v>
      </c>
    </row>
    <row r="18" ht="15" customHeight="1" s="46">
      <c r="A18" s="73" t="inlineStr">
        <is>
          <t>Investments</t>
        </is>
      </c>
      <c r="B18" s="62" t="n">
        <v>37972.32</v>
      </c>
      <c r="C18" s="62" t="n">
        <v>43750.08</v>
      </c>
      <c r="D18" s="62" t="n">
        <v>0</v>
      </c>
    </row>
    <row r="19" ht="15" customHeight="1" s="46">
      <c r="A19" s="73" t="inlineStr">
        <is>
          <t>Trade receivables</t>
        </is>
      </c>
      <c r="B19" s="62" t="n">
        <v>24235.48</v>
      </c>
      <c r="C19" s="62" t="n">
        <v>17908.43</v>
      </c>
      <c r="D19" s="62" t="n">
        <v>3236.85</v>
      </c>
    </row>
    <row r="20" ht="15" customHeight="1" s="46">
      <c r="A20" s="73" t="inlineStr">
        <is>
          <t>Cash and cash equivalents</t>
        </is>
      </c>
      <c r="B20" s="62" t="n">
        <v>4041.32</v>
      </c>
      <c r="C20" s="62" t="n">
        <v>1634.94</v>
      </c>
      <c r="D20" s="62" t="n">
        <v>13655.89</v>
      </c>
    </row>
    <row r="21" ht="15" customHeight="1" s="46">
      <c r="A21" s="73" t="inlineStr">
        <is>
          <t>Bank balances other than cash &amp; equivalents</t>
        </is>
      </c>
      <c r="B21" s="62" t="n">
        <v>5689.98</v>
      </c>
      <c r="C21" s="62" t="n">
        <v>4023.08</v>
      </c>
      <c r="D21" s="62" t="n">
        <v>2941</v>
      </c>
    </row>
    <row r="22" ht="15" customHeight="1" s="46">
      <c r="A22" s="73" t="inlineStr">
        <is>
          <t>Other financial assets (current)</t>
        </is>
      </c>
      <c r="B22" s="62" t="n">
        <v>10727.24</v>
      </c>
      <c r="C22" s="62" t="n">
        <v>22231.36</v>
      </c>
      <c r="D22" s="62" t="n">
        <v>206.55</v>
      </c>
    </row>
    <row r="23" ht="15" customHeight="1" s="46">
      <c r="A23" s="73" t="inlineStr">
        <is>
          <t>Other current assets</t>
        </is>
      </c>
      <c r="B23" s="62" t="n">
        <v>4747.65</v>
      </c>
      <c r="C23" s="62" t="n">
        <v>5597.59</v>
      </c>
      <c r="D23" s="62" t="n">
        <v>2333.51</v>
      </c>
    </row>
    <row r="24" ht="15" customHeight="1" s="46">
      <c r="A24" s="68" t="inlineStr">
        <is>
          <t>Total current assets</t>
        </is>
      </c>
      <c r="B24" s="69" t="n">
        <v>96384.48</v>
      </c>
      <c r="C24" s="69" t="n">
        <v>101249.9</v>
      </c>
      <c r="D24" s="69" t="n">
        <v>23639.27</v>
      </c>
    </row>
    <row r="25" ht="15" customHeight="1" s="46">
      <c r="A25" s="68" t="inlineStr">
        <is>
          <t>Total assets</t>
        </is>
      </c>
      <c r="B25" s="69" t="n">
        <v>135101.07</v>
      </c>
      <c r="C25" s="69" t="n">
        <v>138001.29</v>
      </c>
      <c r="D25" s="69" t="n">
        <v>28982.68</v>
      </c>
    </row>
    <row r="26" ht="15" customHeight="1" s="46">
      <c r="A26" s="64" t="inlineStr">
        <is>
          <t>EQUITY &amp; LIABILITIES</t>
        </is>
      </c>
      <c r="B26" s="65" t="n"/>
      <c r="C26" s="65" t="n"/>
      <c r="D26" s="65" t="n"/>
    </row>
    <row r="27" ht="15" customHeight="1" s="46">
      <c r="A27" s="71" t="inlineStr">
        <is>
          <t>Equity</t>
        </is>
      </c>
      <c r="B27" s="72" t="n"/>
      <c r="C27" s="72" t="n"/>
      <c r="D27" s="72" t="n"/>
    </row>
    <row r="28" ht="15" customHeight="1" s="46">
      <c r="A28" s="73" t="inlineStr">
        <is>
          <t>Equity share capital</t>
        </is>
      </c>
      <c r="B28" s="62" t="n">
        <v>12753.16</v>
      </c>
      <c r="C28" s="62" t="n">
        <v>12582.51</v>
      </c>
      <c r="D28" s="62" t="n">
        <v>0</v>
      </c>
    </row>
    <row r="29" ht="15" customHeight="1" s="46">
      <c r="A29" s="73" t="inlineStr">
        <is>
          <t>Share suspense account</t>
        </is>
      </c>
      <c r="B29" s="62" t="n">
        <v>0</v>
      </c>
      <c r="C29" s="62" t="n">
        <v>0</v>
      </c>
      <c r="D29" s="62" t="n">
        <v>56681.42</v>
      </c>
    </row>
    <row r="30" ht="15" customHeight="1" s="46">
      <c r="A30" s="73" t="inlineStr">
        <is>
          <t>Instruments entirely equity in nature</t>
        </is>
      </c>
      <c r="B30" s="62" t="n">
        <v>69713.64999999999</v>
      </c>
      <c r="C30" s="62" t="n">
        <v>63105.89</v>
      </c>
      <c r="D30" s="62" t="n">
        <v>0</v>
      </c>
    </row>
    <row r="31" ht="15" customHeight="1" s="46">
      <c r="A31" s="73" t="inlineStr">
        <is>
          <t>Other equity</t>
        </is>
      </c>
      <c r="B31" s="62" t="n">
        <v>-22487.94</v>
      </c>
      <c r="C31" s="62" t="n">
        <v>10172.91</v>
      </c>
      <c r="D31" s="62" t="n">
        <v>-39509.48</v>
      </c>
    </row>
    <row r="32" ht="15" customHeight="1" s="46">
      <c r="A32" s="68" t="inlineStr">
        <is>
          <t>Total equity</t>
        </is>
      </c>
      <c r="B32" s="69" t="n">
        <v>59978.87</v>
      </c>
      <c r="C32" s="69" t="n">
        <v>85861.31</v>
      </c>
      <c r="D32" s="69" t="n">
        <v>17171.94</v>
      </c>
    </row>
    <row r="33" ht="15" customHeight="1" s="46">
      <c r="A33" s="71" t="inlineStr">
        <is>
          <t>Non-current liabilities</t>
        </is>
      </c>
      <c r="B33" s="72" t="n"/>
      <c r="C33" s="72" t="n"/>
      <c r="D33" s="72" t="n"/>
    </row>
    <row r="34" ht="15" customHeight="1" s="46">
      <c r="A34" s="73" t="inlineStr">
        <is>
          <t>Borrowings (non-current)</t>
        </is>
      </c>
      <c r="B34" s="62" t="n">
        <v>0</v>
      </c>
      <c r="C34" s="62" t="n">
        <v>0</v>
      </c>
      <c r="D34" s="62" t="n">
        <v>647.14</v>
      </c>
    </row>
    <row r="35" ht="15" customHeight="1" s="46">
      <c r="A35" s="73" t="inlineStr">
        <is>
          <t>Lease liabilities (non-current)</t>
        </is>
      </c>
      <c r="B35" s="62" t="n">
        <v>21671.92</v>
      </c>
      <c r="C35" s="62" t="n">
        <v>18354.26</v>
      </c>
      <c r="D35" s="62" t="n">
        <v>2691.34</v>
      </c>
    </row>
    <row r="36" ht="15" customHeight="1" s="46">
      <c r="A36" s="73" t="inlineStr">
        <is>
          <t>Provisions (non-current)</t>
        </is>
      </c>
      <c r="B36" s="62" t="n">
        <v>373.26</v>
      </c>
      <c r="C36" s="62" t="n">
        <v>312.47</v>
      </c>
      <c r="D36" s="62" t="n">
        <v>125.77</v>
      </c>
    </row>
    <row r="37" ht="15" customHeight="1" s="46">
      <c r="A37" s="68" t="inlineStr">
        <is>
          <t>Total non-current liabilities</t>
        </is>
      </c>
      <c r="B37" s="69" t="n">
        <v>22045.18</v>
      </c>
      <c r="C37" s="69" t="n">
        <v>18666.73</v>
      </c>
      <c r="D37" s="69" t="n">
        <v>3464.25</v>
      </c>
    </row>
    <row r="38" ht="15" customHeight="1" s="46">
      <c r="A38" s="71" t="inlineStr">
        <is>
          <t>Current liabilities</t>
        </is>
      </c>
      <c r="B38" s="72" t="n"/>
      <c r="C38" s="72" t="n"/>
      <c r="D38" s="72" t="n"/>
    </row>
    <row r="39" ht="15" customHeight="1" s="46">
      <c r="A39" s="73" t="inlineStr">
        <is>
          <t>Borrowings (current)</t>
        </is>
      </c>
      <c r="B39" s="62" t="n">
        <v>0</v>
      </c>
      <c r="C39" s="62" t="n">
        <v>0</v>
      </c>
      <c r="D39" s="62" t="n">
        <v>1069</v>
      </c>
    </row>
    <row r="40" ht="15" customHeight="1" s="46">
      <c r="A40" s="73" t="inlineStr">
        <is>
          <t>Lease liabilities (current)</t>
        </is>
      </c>
      <c r="B40" s="62" t="n">
        <v>5429.08</v>
      </c>
      <c r="C40" s="62" t="n">
        <v>3524.22</v>
      </c>
      <c r="D40" s="62" t="n">
        <v>729.8</v>
      </c>
    </row>
    <row r="41" ht="15" customHeight="1" s="46">
      <c r="A41" s="73" t="inlineStr">
        <is>
          <t>Trade payables - micro &amp; small enterprises</t>
        </is>
      </c>
      <c r="B41" s="62" t="n">
        <v>5626.35</v>
      </c>
      <c r="C41" s="62" t="n">
        <v>4682.08</v>
      </c>
      <c r="D41" s="62" t="n">
        <v>755.36</v>
      </c>
    </row>
    <row r="42" ht="15" customHeight="1" s="46">
      <c r="A42" s="73" t="inlineStr">
        <is>
          <t>Trade payables - other creditors</t>
        </is>
      </c>
      <c r="B42" s="62" t="n">
        <v>31621.51</v>
      </c>
      <c r="C42" s="62" t="n">
        <v>18585.74</v>
      </c>
      <c r="D42" s="62" t="n">
        <v>5059.65</v>
      </c>
    </row>
    <row r="43" ht="15" customHeight="1" s="46">
      <c r="A43" s="73" t="inlineStr">
        <is>
          <t>Other financial liabilities (current)</t>
        </is>
      </c>
      <c r="B43" s="62" t="n">
        <v>8024.92</v>
      </c>
      <c r="C43" s="62" t="n">
        <v>4456.28</v>
      </c>
      <c r="D43" s="62" t="n">
        <v>296.78</v>
      </c>
    </row>
    <row r="44" ht="15" customHeight="1" s="46">
      <c r="A44" s="73" t="inlineStr">
        <is>
          <t>Other current liabilities</t>
        </is>
      </c>
      <c r="B44" s="62" t="n">
        <v>2004.33</v>
      </c>
      <c r="C44" s="62" t="n">
        <v>1750.78</v>
      </c>
      <c r="D44" s="62" t="n">
        <v>191.84</v>
      </c>
    </row>
    <row r="45" ht="15" customHeight="1" s="46">
      <c r="A45" s="73" t="inlineStr">
        <is>
          <t>Provisions (current)</t>
        </is>
      </c>
      <c r="B45" s="62" t="n">
        <v>370.83</v>
      </c>
      <c r="C45" s="62" t="n">
        <v>431.34</v>
      </c>
      <c r="D45" s="62" t="n">
        <v>166</v>
      </c>
    </row>
    <row r="46" ht="15" customHeight="1" s="46">
      <c r="A46" s="73" t="inlineStr">
        <is>
          <t>Current tax liabilities (net)</t>
        </is>
      </c>
      <c r="B46" s="62" t="n">
        <v>0</v>
      </c>
      <c r="C46" s="62" t="n">
        <v>42.81</v>
      </c>
      <c r="D46" s="62" t="n">
        <v>78.06</v>
      </c>
    </row>
    <row r="47" ht="15" customHeight="1" s="46">
      <c r="A47" s="68" t="inlineStr">
        <is>
          <t>Total current liabilities</t>
        </is>
      </c>
      <c r="B47" s="69" t="n">
        <v>53077.02</v>
      </c>
      <c r="C47" s="69" t="n">
        <v>33473.25</v>
      </c>
      <c r="D47" s="69" t="n">
        <v>8346.49</v>
      </c>
    </row>
    <row r="48" ht="15" customHeight="1" s="46">
      <c r="A48" s="68" t="inlineStr">
        <is>
          <t>Total liabilities</t>
        </is>
      </c>
      <c r="B48" s="69" t="n">
        <v>75122.2</v>
      </c>
      <c r="C48" s="69" t="n">
        <v>52139.98</v>
      </c>
      <c r="D48" s="69" t="n">
        <v>11810.74</v>
      </c>
    </row>
    <row r="49" ht="15" customHeight="1" s="46">
      <c r="A49" s="68" t="inlineStr">
        <is>
          <t>Total equity and liabilities</t>
        </is>
      </c>
      <c r="B49" s="69" t="n">
        <v>135101.07</v>
      </c>
      <c r="C49" s="69" t="n">
        <v>138001.29</v>
      </c>
      <c r="D49" s="69" t="n">
        <v>28982.68</v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45" min="1" max="1"/>
    <col width="16" customWidth="1" style="45" min="2" max="4"/>
  </cols>
  <sheetData>
    <row r="1" ht="17.35" customHeight="1" s="46">
      <c r="A1" s="53" t="inlineStr">
        <is>
          <t>Restated Consolidated Statement of Cash Flows</t>
        </is>
      </c>
    </row>
    <row r="2" ht="15" customHeight="1" s="46">
      <c r="A2" s="54" t="inlineStr">
        <is>
          <t>Rs. in million | FY = year ended March 31</t>
        </is>
      </c>
    </row>
    <row r="4" ht="15" customHeight="1" s="46">
      <c r="A4" s="74" t="inlineStr">
        <is>
          <t>Particulars</t>
        </is>
      </c>
      <c r="B4" s="74" t="inlineStr">
        <is>
          <t>FY2026</t>
        </is>
      </c>
      <c r="C4" s="74" t="inlineStr">
        <is>
          <t>FY2025</t>
        </is>
      </c>
      <c r="D4" s="74" t="inlineStr">
        <is>
          <t>FY2024</t>
        </is>
      </c>
    </row>
    <row r="5" ht="15" customHeight="1" s="46">
      <c r="A5" s="75" t="inlineStr">
        <is>
          <t>Restated loss before tax</t>
        </is>
      </c>
      <c r="B5" s="76" t="n">
        <v>-59051.92</v>
      </c>
      <c r="C5" s="76" t="n">
        <v>-46954.33</v>
      </c>
      <c r="D5" s="76" t="n">
        <v>-12070.42</v>
      </c>
    </row>
    <row r="6" ht="15" customHeight="1" s="46">
      <c r="A6" s="71" t="inlineStr">
        <is>
          <t>Adjustments (D&amp;A, interest, share-based pay, fair value, etc.)</t>
        </is>
      </c>
      <c r="B6" s="72" t="n"/>
      <c r="C6" s="72" t="n"/>
      <c r="D6" s="72" t="n"/>
    </row>
    <row r="7" ht="15" customHeight="1" s="46">
      <c r="A7" s="73" t="inlineStr">
        <is>
          <t>Depreciation and amortisation expense</t>
        </is>
      </c>
      <c r="B7" s="62" t="n">
        <v>8942.559999999999</v>
      </c>
      <c r="C7" s="62" t="n">
        <v>4040.75</v>
      </c>
      <c r="D7" s="62" t="n">
        <v>1209.8</v>
      </c>
    </row>
    <row r="8" ht="15" customHeight="1" s="46">
      <c r="A8" s="73" t="inlineStr">
        <is>
          <t>Interest income</t>
        </is>
      </c>
      <c r="B8" s="62" t="n">
        <v>-4059.24</v>
      </c>
      <c r="C8" s="62" t="n">
        <v>-3245.28</v>
      </c>
      <c r="D8" s="62" t="n">
        <v>-741.4400000000001</v>
      </c>
    </row>
    <row r="9" ht="15" customHeight="1" s="46">
      <c r="A9" s="73" t="inlineStr">
        <is>
          <t>Share based payment expense</t>
        </is>
      </c>
      <c r="B9" s="62" t="n">
        <v>5569.42</v>
      </c>
      <c r="C9" s="62" t="n">
        <v>2931.59</v>
      </c>
      <c r="D9" s="62" t="n">
        <v>755.34</v>
      </c>
    </row>
    <row r="10" ht="15" customHeight="1" s="46">
      <c r="A10" s="73" t="inlineStr">
        <is>
          <t>Interest on lease liabilities</t>
        </is>
      </c>
      <c r="B10" s="62" t="n">
        <v>2591.02</v>
      </c>
      <c r="C10" s="62" t="n">
        <v>1272.18</v>
      </c>
      <c r="D10" s="62" t="n">
        <v>366.71</v>
      </c>
    </row>
    <row r="11" ht="15" customHeight="1" s="46">
      <c r="A11" s="73" t="inlineStr">
        <is>
          <t>Gain on sale of mutual fund units (net)</t>
        </is>
      </c>
      <c r="B11" s="62" t="n">
        <v>-792</v>
      </c>
      <c r="C11" s="62" t="n">
        <v>-842.2</v>
      </c>
      <c r="D11" s="62" t="n">
        <v>-126.1</v>
      </c>
    </row>
    <row r="12" ht="15" customHeight="1" s="46">
      <c r="A12" s="73" t="inlineStr">
        <is>
          <t>Other adjustments (net)</t>
        </is>
      </c>
      <c r="B12" s="62" t="n">
        <v>129.62</v>
      </c>
      <c r="C12" s="62" t="n">
        <v>-65.31</v>
      </c>
      <c r="D12" s="62" t="n">
        <v>123.99</v>
      </c>
    </row>
    <row r="13" ht="15" customHeight="1" s="46">
      <c r="A13" s="75" t="inlineStr">
        <is>
          <t>Operating loss before working capital changes</t>
        </is>
      </c>
      <c r="B13" s="76" t="n">
        <v>-44640.34</v>
      </c>
      <c r="C13" s="76" t="n">
        <v>-42726.28</v>
      </c>
      <c r="D13" s="76" t="n">
        <v>-10184.12</v>
      </c>
    </row>
    <row r="14" ht="15" customHeight="1" s="46">
      <c r="A14" s="73" t="inlineStr">
        <is>
          <t>Working capital adjustments (net)</t>
        </is>
      </c>
      <c r="B14" s="62" t="n">
        <v>10004.01</v>
      </c>
      <c r="C14" s="62" t="n">
        <v>-2784.97</v>
      </c>
      <c r="D14" s="62" t="n">
        <v>-800.09</v>
      </c>
    </row>
    <row r="15" ht="15" customHeight="1" s="46">
      <c r="A15" s="75" t="inlineStr">
        <is>
          <t>Cash used in operating activities before taxes</t>
        </is>
      </c>
      <c r="B15" s="76" t="n">
        <v>-34596.3</v>
      </c>
      <c r="C15" s="76" t="n">
        <v>-45599.31</v>
      </c>
      <c r="D15" s="76" t="n">
        <v>-10984.21</v>
      </c>
    </row>
    <row r="16" ht="15" customHeight="1" s="46">
      <c r="A16" s="73" t="inlineStr">
        <is>
          <t>Income tax paid (net)</t>
        </is>
      </c>
      <c r="B16" s="62" t="n">
        <v>-28.12</v>
      </c>
      <c r="C16" s="62" t="n">
        <v>-649.03</v>
      </c>
      <c r="D16" s="62" t="n">
        <v>5.41</v>
      </c>
    </row>
    <row r="17" ht="15" customHeight="1" s="46">
      <c r="A17" s="68" t="inlineStr">
        <is>
          <t>Net cash (used in) operating activities (A)</t>
        </is>
      </c>
      <c r="B17" s="69" t="n">
        <v>-34624.42</v>
      </c>
      <c r="C17" s="69" t="n">
        <v>-46248.34</v>
      </c>
      <c r="D17" s="69" t="n">
        <v>-10978.8</v>
      </c>
    </row>
    <row r="18" ht="15" customHeight="1" s="46">
      <c r="A18" s="73" t="inlineStr">
        <is>
          <t>Purchase of PP&amp;E / intangibles (incl. CWIP)</t>
        </is>
      </c>
      <c r="B18" s="62" t="n">
        <v>-6690.62</v>
      </c>
      <c r="C18" s="62" t="n">
        <v>-8811.190000000001</v>
      </c>
      <c r="D18" s="62" t="n">
        <v>-1226.63</v>
      </c>
    </row>
    <row r="19" ht="15" customHeight="1" s="46">
      <c r="A19" s="73" t="inlineStr">
        <is>
          <t>Interest received</t>
        </is>
      </c>
      <c r="B19" s="62" t="n">
        <v>4279.49</v>
      </c>
      <c r="C19" s="62" t="n">
        <v>1564.45</v>
      </c>
      <c r="D19" s="62" t="n">
        <v>679.48</v>
      </c>
    </row>
    <row r="20" ht="15" customHeight="1" s="46">
      <c r="A20" s="73" t="inlineStr">
        <is>
          <t>Net mutual fund / bonds / CP investments &amp; deposits</t>
        </is>
      </c>
      <c r="B20" s="62" t="n">
        <v>20489.8</v>
      </c>
      <c r="C20" s="62" t="n">
        <v>-66371.34</v>
      </c>
      <c r="D20" s="62" t="n">
        <v>4035.89</v>
      </c>
    </row>
    <row r="21" ht="15" customHeight="1" s="46">
      <c r="A21" s="68" t="inlineStr">
        <is>
          <t>Net cash from/(used in) investing activities (B)</t>
        </is>
      </c>
      <c r="B21" s="69" t="n">
        <v>18078.67</v>
      </c>
      <c r="C21" s="69" t="n">
        <v>-73618.12</v>
      </c>
      <c r="D21" s="69" t="n">
        <v>3488.86</v>
      </c>
    </row>
    <row r="22" ht="15" customHeight="1" s="46">
      <c r="A22" s="73" t="inlineStr">
        <is>
          <t>Proceeds from issuance/call-up of CCPS</t>
        </is>
      </c>
      <c r="B22" s="62" t="n">
        <v>25692.98</v>
      </c>
      <c r="C22" s="62" t="n">
        <v>31503.23</v>
      </c>
      <c r="D22" s="62" t="n">
        <v>0</v>
      </c>
    </row>
    <row r="23" ht="15" customHeight="1" s="46">
      <c r="A23" s="73" t="inlineStr">
        <is>
          <t>Proceeds from CCPS (common control transaction)</t>
        </is>
      </c>
      <c r="B23" s="62" t="n">
        <v>0</v>
      </c>
      <c r="C23" s="62" t="n">
        <v>80795.56</v>
      </c>
      <c r="D23" s="62" t="n">
        <v>19468.8</v>
      </c>
    </row>
    <row r="24" ht="15" customHeight="1" s="46">
      <c r="A24" s="73" t="inlineStr">
        <is>
          <t>Lease principal &amp; interest payments</t>
        </is>
      </c>
      <c r="B24" s="62" t="n">
        <v>-6740.21</v>
      </c>
      <c r="C24" s="62" t="n">
        <v>-2912.35</v>
      </c>
      <c r="D24" s="62" t="n">
        <v>-853.88</v>
      </c>
    </row>
    <row r="25" ht="15" customHeight="1" s="46">
      <c r="A25" s="73" t="inlineStr">
        <is>
          <t>Other financing flows (net)</t>
        </is>
      </c>
      <c r="B25" s="62" t="n">
        <v>-0.64</v>
      </c>
      <c r="C25" s="62" t="n">
        <v>-1538.93</v>
      </c>
      <c r="D25" s="62" t="n">
        <v>-99.20999999999999</v>
      </c>
    </row>
    <row r="26" ht="15" customHeight="1" s="46">
      <c r="A26" s="68" t="inlineStr">
        <is>
          <t>Net cash from financing activities (C)</t>
        </is>
      </c>
      <c r="B26" s="69" t="n">
        <v>18952.13</v>
      </c>
      <c r="C26" s="69" t="n">
        <v>107845.51</v>
      </c>
      <c r="D26" s="69" t="n">
        <v>18603.71</v>
      </c>
    </row>
    <row r="27" ht="15" customHeight="1" s="46">
      <c r="A27" s="75" t="inlineStr">
        <is>
          <t>Net increase/(decrease) in cash (A+B+C)</t>
        </is>
      </c>
      <c r="B27" s="76" t="n">
        <v>2406.38</v>
      </c>
      <c r="C27" s="76" t="n">
        <v>-12020.95</v>
      </c>
      <c r="D27" s="76" t="n">
        <v>11113.77</v>
      </c>
    </row>
    <row r="28" ht="15" customHeight="1" s="46">
      <c r="A28" s="73" t="inlineStr">
        <is>
          <t>Cash &amp; equivalents at beginning of year</t>
        </is>
      </c>
      <c r="B28" s="62" t="n">
        <v>1634.94</v>
      </c>
      <c r="C28" s="62" t="n">
        <v>13655.89</v>
      </c>
      <c r="D28" s="62" t="n">
        <v>2542.12</v>
      </c>
    </row>
    <row r="29" ht="15" customHeight="1" s="46">
      <c r="A29" s="68" t="inlineStr">
        <is>
          <t>Cash &amp; equivalents at end of year</t>
        </is>
      </c>
      <c r="B29" s="69" t="n">
        <v>4041.32</v>
      </c>
      <c r="C29" s="69" t="n">
        <v>1634.94</v>
      </c>
      <c r="D29" s="69" t="n">
        <v>13655.89</v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45" min="1" max="1"/>
    <col width="14" customWidth="1" style="45" min="2" max="2"/>
    <col width="15" customWidth="1" style="45" min="3" max="5"/>
  </cols>
  <sheetData>
    <row r="1" ht="17.35" customHeight="1" s="46">
      <c r="A1" s="53" t="inlineStr">
        <is>
          <t>Key Performance Indicators (Annual)</t>
        </is>
      </c>
    </row>
    <row r="2" ht="15" customHeight="1" s="46">
      <c r="A2" s="54" t="inlineStr">
        <is>
          <t>Source: Basis for Offer Price. FY ended March 31</t>
        </is>
      </c>
    </row>
    <row r="4" ht="15" customHeight="1" s="46">
      <c r="A4" s="74" t="inlineStr">
        <is>
          <t>KPI</t>
        </is>
      </c>
      <c r="B4" s="74" t="inlineStr">
        <is>
          <t>Unit</t>
        </is>
      </c>
      <c r="C4" s="74" t="inlineStr">
        <is>
          <t>FY2026</t>
        </is>
      </c>
      <c r="D4" s="74" t="inlineStr">
        <is>
          <t>FY2025</t>
        </is>
      </c>
      <c r="E4" s="74" t="inlineStr">
        <is>
          <t>FY2024</t>
        </is>
      </c>
    </row>
    <row r="5" ht="15" customHeight="1" s="46">
      <c r="A5" s="56" t="inlineStr">
        <is>
          <t>Total Orders</t>
        </is>
      </c>
      <c r="B5" s="77" t="inlineStr">
        <is>
          <t># million</t>
        </is>
      </c>
      <c r="C5" s="62" t="n">
        <v>640.1799999999999</v>
      </c>
      <c r="D5" s="62" t="n">
        <v>332.11</v>
      </c>
      <c r="E5" s="62" t="n">
        <v>132.87</v>
      </c>
    </row>
    <row r="6" ht="15" customHeight="1" s="46">
      <c r="A6" s="56" t="inlineStr">
        <is>
          <t>Orders per day (OPD)</t>
        </is>
      </c>
      <c r="B6" s="77" t="inlineStr">
        <is>
          <t>#</t>
        </is>
      </c>
      <c r="C6" s="62" t="n">
        <v>1753915</v>
      </c>
      <c r="D6" s="62" t="n">
        <v>909881</v>
      </c>
      <c r="E6" s="62" t="n">
        <v>363033</v>
      </c>
    </row>
    <row r="7" ht="15" customHeight="1" s="46">
      <c r="A7" s="56" t="inlineStr">
        <is>
          <t>OPD growth (YoY)</t>
        </is>
      </c>
      <c r="B7" s="77" t="inlineStr">
        <is>
          <t>%</t>
        </is>
      </c>
      <c r="C7" s="78" t="n">
        <v>0.9276</v>
      </c>
      <c r="D7" s="78" t="n">
        <v>1.5063</v>
      </c>
      <c r="E7" s="78" t="n"/>
    </row>
    <row r="8" ht="15" customHeight="1" s="46">
      <c r="A8" s="56" t="inlineStr">
        <is>
          <t>OPD per Store</t>
        </is>
      </c>
      <c r="B8" s="77" t="inlineStr">
        <is>
          <t>#</t>
        </is>
      </c>
      <c r="C8" s="62" t="n">
        <v>1677</v>
      </c>
      <c r="D8" s="62" t="n">
        <v>1565</v>
      </c>
      <c r="E8" s="62" t="n">
        <v>1325</v>
      </c>
    </row>
    <row r="9" ht="15" customHeight="1" s="46">
      <c r="A9" s="56" t="inlineStr">
        <is>
          <t>Net Receivables Value (NRV)</t>
        </is>
      </c>
      <c r="B9" s="77" t="inlineStr">
        <is>
          <t>Rs. mn</t>
        </is>
      </c>
      <c r="C9" s="62" t="n">
        <v>248155.39</v>
      </c>
      <c r="D9" s="62" t="n">
        <v>127037.29</v>
      </c>
      <c r="E9" s="62" t="n">
        <v>52317.04</v>
      </c>
    </row>
    <row r="10" ht="15" customHeight="1" s="46">
      <c r="A10" s="56" t="inlineStr">
        <is>
          <t>NRV growth (YoY)</t>
        </is>
      </c>
      <c r="B10" s="77" t="inlineStr">
        <is>
          <t>%</t>
        </is>
      </c>
      <c r="C10" s="78" t="n">
        <v>0.9534</v>
      </c>
      <c r="D10" s="78" t="n">
        <v>1.4282</v>
      </c>
      <c r="E10" s="78" t="n"/>
    </row>
    <row r="11" ht="15" customHeight="1" s="46">
      <c r="A11" s="56" t="inlineStr">
        <is>
          <t>Closing count of Stores</t>
        </is>
      </c>
      <c r="B11" s="77" t="inlineStr">
        <is>
          <t>#</t>
        </is>
      </c>
      <c r="C11" s="62" t="n">
        <v>1139</v>
      </c>
      <c r="D11" s="62" t="n">
        <v>1029</v>
      </c>
      <c r="E11" s="62" t="n">
        <v>337</v>
      </c>
    </row>
    <row r="12" ht="15" customHeight="1" s="46">
      <c r="A12" s="56" t="inlineStr">
        <is>
          <t>Annual Transacting Users (ATU)</t>
        </is>
      </c>
      <c r="B12" s="77" t="inlineStr">
        <is>
          <t># million</t>
        </is>
      </c>
      <c r="C12" s="62" t="n">
        <v>47.97</v>
      </c>
      <c r="D12" s="62" t="n">
        <v>38.38</v>
      </c>
      <c r="E12" s="62" t="n">
        <v>10.57</v>
      </c>
    </row>
    <row r="13" ht="15" customHeight="1" s="46">
      <c r="A13" s="56" t="inlineStr">
        <is>
          <t>ATU growth (YoY)</t>
        </is>
      </c>
      <c r="B13" s="77" t="inlineStr">
        <is>
          <t>%</t>
        </is>
      </c>
      <c r="C13" s="78" t="n">
        <v>0.25</v>
      </c>
      <c r="D13" s="78" t="n">
        <v>2.6318</v>
      </c>
      <c r="E13" s="78" t="n"/>
    </row>
    <row r="14" ht="15" customHeight="1" s="46">
      <c r="A14" s="56" t="inlineStr">
        <is>
          <t>Advertisement Receipts %</t>
        </is>
      </c>
      <c r="B14" s="77" t="inlineStr">
        <is>
          <t>%</t>
        </is>
      </c>
      <c r="C14" s="78" t="n">
        <v>0.07779999999999999</v>
      </c>
      <c r="D14" s="78" t="n">
        <v>0.0605</v>
      </c>
      <c r="E14" s="78" t="n">
        <v>0.0111</v>
      </c>
    </row>
    <row r="15" ht="15" customHeight="1" s="46">
      <c r="A15" s="56" t="inlineStr">
        <is>
          <t>Revenue from operations</t>
        </is>
      </c>
      <c r="B15" s="77" t="inlineStr">
        <is>
          <t>Rs. mn</t>
        </is>
      </c>
      <c r="C15" s="62" t="n">
        <v>226235.84</v>
      </c>
      <c r="D15" s="62" t="n">
        <v>111099.47</v>
      </c>
      <c r="E15" s="62" t="n">
        <v>44545.16</v>
      </c>
    </row>
    <row r="16" ht="15" customHeight="1" s="46">
      <c r="A16" s="56" t="inlineStr">
        <is>
          <t>Revenue growth (YoY)</t>
        </is>
      </c>
      <c r="B16" s="77" t="inlineStr">
        <is>
          <t>%</t>
        </is>
      </c>
      <c r="C16" s="78" t="n">
        <v>1.0363</v>
      </c>
      <c r="D16" s="78" t="n">
        <v>1.4941</v>
      </c>
      <c r="E16" s="78" t="n"/>
    </row>
    <row r="17" ht="15" customHeight="1" s="46">
      <c r="A17" s="56" t="inlineStr">
        <is>
          <t>Advertisement revenue</t>
        </is>
      </c>
      <c r="B17" s="77" t="inlineStr">
        <is>
          <t>Rs. mn</t>
        </is>
      </c>
      <c r="C17" s="62" t="n">
        <v>16357.26</v>
      </c>
      <c r="D17" s="62" t="n">
        <v>6512.41</v>
      </c>
      <c r="E17" s="62" t="n">
        <v>491.72</v>
      </c>
    </row>
    <row r="18" ht="15" customHeight="1" s="46">
      <c r="A18" s="56" t="inlineStr">
        <is>
          <t>Advertisement revenue growth (YoY)</t>
        </is>
      </c>
      <c r="B18" s="77" t="inlineStr">
        <is>
          <t>%</t>
        </is>
      </c>
      <c r="C18" s="78" t="n">
        <v>1.5117</v>
      </c>
      <c r="D18" s="78" t="n">
        <v>12.2441</v>
      </c>
      <c r="E18" s="78" t="n"/>
    </row>
    <row r="19" ht="15" customHeight="1" s="46">
      <c r="A19" s="56" t="inlineStr">
        <is>
          <t>Total income</t>
        </is>
      </c>
      <c r="B19" s="77" t="inlineStr">
        <is>
          <t>Rs. mn</t>
        </is>
      </c>
      <c r="C19" s="62" t="n">
        <v>231283.78</v>
      </c>
      <c r="D19" s="62" t="n">
        <v>116027.54</v>
      </c>
      <c r="E19" s="62" t="n">
        <v>45441.72</v>
      </c>
    </row>
    <row r="20" ht="15" customHeight="1" s="46">
      <c r="A20" s="56" t="inlineStr">
        <is>
          <t>Adjusted EBITDA</t>
        </is>
      </c>
      <c r="B20" s="77" t="inlineStr">
        <is>
          <t>Rs. mn</t>
        </is>
      </c>
      <c r="C20" s="62" t="n">
        <v>-50415.54</v>
      </c>
      <c r="D20" s="62" t="n">
        <v>-45216.91</v>
      </c>
      <c r="E20" s="62" t="n">
        <v>-11245.87</v>
      </c>
    </row>
    <row r="21" ht="15" customHeight="1" s="46">
      <c r="A21" s="56" t="inlineStr">
        <is>
          <t>Adjusted EBITDA per order</t>
        </is>
      </c>
      <c r="B21" s="77" t="inlineStr">
        <is>
          <t>Rs.</t>
        </is>
      </c>
      <c r="C21" s="70" t="n">
        <v>-78.75</v>
      </c>
      <c r="D21" s="70" t="n">
        <v>-136.15</v>
      </c>
      <c r="E21" s="70" t="n">
        <v>-84.64</v>
      </c>
    </row>
    <row r="22" ht="15" customHeight="1" s="46">
      <c r="A22" s="56" t="inlineStr">
        <is>
          <t>Adjusted EBITDA %</t>
        </is>
      </c>
      <c r="B22" s="77" t="inlineStr">
        <is>
          <t>%</t>
        </is>
      </c>
      <c r="C22" s="78" t="n">
        <v>-0.2032</v>
      </c>
      <c r="D22" s="78" t="n">
        <v>-0.3559</v>
      </c>
      <c r="E22" s="78" t="n">
        <v>-0.215</v>
      </c>
    </row>
    <row r="23" ht="15" customHeight="1" s="46">
      <c r="A23" s="56" t="inlineStr">
        <is>
          <t>Change in WC &amp; Capex</t>
        </is>
      </c>
      <c r="B23" s="77" t="inlineStr">
        <is>
          <t>Rs. mn</t>
        </is>
      </c>
      <c r="C23" s="62" t="n">
        <v>2227.17</v>
      </c>
      <c r="D23" s="62" t="n">
        <v>-11771.77</v>
      </c>
      <c r="E23" s="62" t="n">
        <v>-2026.72</v>
      </c>
    </row>
    <row r="24" ht="15" customHeight="1" s="46">
      <c r="A24" s="56" t="inlineStr">
        <is>
          <t>Net cash (used in) operating activities</t>
        </is>
      </c>
      <c r="B24" s="77" t="inlineStr">
        <is>
          <t>Rs. mn</t>
        </is>
      </c>
      <c r="C24" s="62" t="n">
        <v>-34624.42</v>
      </c>
      <c r="D24" s="62" t="n">
        <v>-46248.34</v>
      </c>
      <c r="E24" s="62" t="n">
        <v>-10978.8</v>
      </c>
    </row>
    <row r="25" ht="15" customHeight="1" s="46">
      <c r="A25" s="56" t="inlineStr">
        <is>
          <t>Free Cash Flow</t>
        </is>
      </c>
      <c r="B25" s="77" t="inlineStr">
        <is>
          <t>Rs. mn</t>
        </is>
      </c>
      <c r="C25" s="62" t="n">
        <v>-43295.42</v>
      </c>
      <c r="D25" s="62" t="n">
        <v>-53324.89</v>
      </c>
      <c r="E25" s="62" t="n">
        <v>-12413.83</v>
      </c>
    </row>
    <row r="26" ht="15" customHeight="1" s="46">
      <c r="A26" s="56" t="inlineStr">
        <is>
          <t>Free Cash Flow per order</t>
        </is>
      </c>
      <c r="B26" s="77" t="inlineStr">
        <is>
          <t>Rs.</t>
        </is>
      </c>
      <c r="C26" s="70" t="n">
        <v>-67.63</v>
      </c>
      <c r="D26" s="70" t="n">
        <v>-160.56</v>
      </c>
      <c r="E26" s="70" t="n">
        <v>-93.43000000000001</v>
      </c>
    </row>
    <row r="27" ht="15" customHeight="1" s="46">
      <c r="A27" s="56" t="inlineStr">
        <is>
          <t>Closing cash balance incl. investments</t>
        </is>
      </c>
      <c r="B27" s="77" t="inlineStr">
        <is>
          <t>Rs. mn</t>
        </is>
      </c>
      <c r="C27" s="62" t="n">
        <v>56805.27</v>
      </c>
      <c r="D27" s="62" t="n">
        <v>74407.72</v>
      </c>
      <c r="E27" s="62" t="n">
        <v>16882.61</v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M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45" min="1" max="1"/>
    <col width="11" customWidth="1" style="45" min="2" max="13"/>
  </cols>
  <sheetData>
    <row r="1" ht="17.35" customHeight="1" s="46">
      <c r="A1" s="53" t="inlineStr">
        <is>
          <t>Key Performance Indicators (Quarterly)</t>
        </is>
      </c>
    </row>
    <row r="2" ht="15" customHeight="1" s="46">
      <c r="A2" s="54" t="inlineStr">
        <is>
          <t>Quarters most-recent first. Q4FY26 = three months ended 31-Mar-2026</t>
        </is>
      </c>
    </row>
    <row r="4" ht="15" customHeight="1" s="46">
      <c r="A4" s="79" t="inlineStr">
        <is>
          <t>KPI (quarterly)</t>
        </is>
      </c>
      <c r="B4" s="79" t="inlineStr">
        <is>
          <t>Q4FY26</t>
        </is>
      </c>
      <c r="C4" s="79" t="inlineStr">
        <is>
          <t>Q3FY26</t>
        </is>
      </c>
      <c r="D4" s="79" t="inlineStr">
        <is>
          <t>Q2FY26</t>
        </is>
      </c>
      <c r="E4" s="79" t="inlineStr">
        <is>
          <t>Q1FY26</t>
        </is>
      </c>
      <c r="F4" s="79" t="inlineStr">
        <is>
          <t>Q4FY25</t>
        </is>
      </c>
      <c r="G4" s="79" t="inlineStr">
        <is>
          <t>Q3FY25</t>
        </is>
      </c>
      <c r="H4" s="79" t="inlineStr">
        <is>
          <t>Q2FY25</t>
        </is>
      </c>
      <c r="I4" s="79" t="inlineStr">
        <is>
          <t>Q1FY25</t>
        </is>
      </c>
      <c r="J4" s="79" t="inlineStr">
        <is>
          <t>Q4FY24</t>
        </is>
      </c>
      <c r="K4" s="79" t="inlineStr">
        <is>
          <t>Q3FY24</t>
        </is>
      </c>
      <c r="L4" s="79" t="inlineStr">
        <is>
          <t>Q2FY24</t>
        </is>
      </c>
      <c r="M4" s="79" t="inlineStr">
        <is>
          <t>Q1FY24</t>
        </is>
      </c>
    </row>
    <row r="5" ht="15" customHeight="1" s="46">
      <c r="A5" s="58" t="inlineStr">
        <is>
          <t>Total Orders (# mn)</t>
        </is>
      </c>
      <c r="B5" s="80" t="n">
        <v>210.01</v>
      </c>
      <c r="C5" s="80" t="n">
        <v>166.91</v>
      </c>
      <c r="D5" s="80" t="n">
        <v>134.45</v>
      </c>
      <c r="E5" s="80" t="n">
        <v>128.8</v>
      </c>
      <c r="F5" s="80" t="n">
        <v>123.61</v>
      </c>
      <c r="G5" s="80" t="n">
        <v>94.64</v>
      </c>
      <c r="H5" s="80" t="n">
        <v>62.61</v>
      </c>
      <c r="I5" s="80" t="n">
        <v>51.23</v>
      </c>
      <c r="J5" s="80" t="n">
        <v>45.15</v>
      </c>
      <c r="K5" s="80" t="n">
        <v>33.79</v>
      </c>
      <c r="L5" s="80" t="n">
        <v>28.48</v>
      </c>
      <c r="M5" s="80" t="n">
        <v>25.45</v>
      </c>
    </row>
    <row r="6" ht="15" customHeight="1" s="46">
      <c r="A6" s="58" t="inlineStr">
        <is>
          <t>Orders per day (OPD)</t>
        </is>
      </c>
      <c r="B6" s="80" t="n">
        <v>2333488</v>
      </c>
      <c r="C6" s="80" t="n">
        <v>1814288</v>
      </c>
      <c r="D6" s="80" t="n">
        <v>1461439</v>
      </c>
      <c r="E6" s="80" t="n">
        <v>1415365</v>
      </c>
      <c r="F6" s="80" t="n">
        <v>1373487</v>
      </c>
      <c r="G6" s="80" t="n">
        <v>1028738</v>
      </c>
      <c r="H6" s="80" t="n">
        <v>680597</v>
      </c>
      <c r="I6" s="80" t="n">
        <v>563012</v>
      </c>
      <c r="J6" s="80" t="n">
        <v>496154</v>
      </c>
      <c r="K6" s="80" t="n">
        <v>367330</v>
      </c>
      <c r="L6" s="80" t="n">
        <v>309539</v>
      </c>
      <c r="M6" s="80" t="n">
        <v>279649</v>
      </c>
    </row>
    <row r="7" ht="15" customHeight="1" s="46">
      <c r="A7" s="58" t="inlineStr">
        <is>
          <t>OPD per Store</t>
        </is>
      </c>
      <c r="B7" s="80" t="n">
        <v>2140</v>
      </c>
      <c r="C7" s="80" t="n">
        <v>1722</v>
      </c>
      <c r="D7" s="80" t="n">
        <v>1433</v>
      </c>
      <c r="E7" s="80" t="n">
        <v>1388</v>
      </c>
      <c r="F7" s="80" t="n">
        <v>1425</v>
      </c>
      <c r="G7" s="80" t="n">
        <v>1625</v>
      </c>
      <c r="H7" s="80" t="n">
        <v>1735</v>
      </c>
      <c r="I7" s="80" t="n">
        <v>1648</v>
      </c>
      <c r="J7" s="80" t="n">
        <v>1488</v>
      </c>
      <c r="K7" s="80" t="n">
        <v>1243</v>
      </c>
      <c r="L7" s="80" t="n">
        <v>1246</v>
      </c>
      <c r="M7" s="80" t="n">
        <v>1279</v>
      </c>
    </row>
    <row r="8" ht="15" customHeight="1" s="46">
      <c r="A8" s="58" t="inlineStr">
        <is>
          <t>NRV (Rs. mn)</t>
        </is>
      </c>
      <c r="B8" s="80" t="n">
        <v>81338.82000000001</v>
      </c>
      <c r="C8" s="80" t="n">
        <v>63356.27</v>
      </c>
      <c r="D8" s="80" t="n">
        <v>51747.52</v>
      </c>
      <c r="E8" s="80" t="n">
        <v>51712.78</v>
      </c>
      <c r="F8" s="80" t="n">
        <v>47026.59</v>
      </c>
      <c r="G8" s="80" t="n">
        <v>35276.64</v>
      </c>
      <c r="H8" s="80" t="n">
        <v>24596.76</v>
      </c>
      <c r="I8" s="80" t="n">
        <v>20137.3</v>
      </c>
      <c r="J8" s="80" t="n">
        <v>17267.38</v>
      </c>
      <c r="K8" s="80" t="n">
        <v>13355.82</v>
      </c>
      <c r="L8" s="80" t="n">
        <v>11521.27</v>
      </c>
      <c r="M8" s="80" t="n">
        <v>10172.57</v>
      </c>
    </row>
    <row r="9" ht="15" customHeight="1" s="46">
      <c r="A9" s="58" t="inlineStr">
        <is>
          <t>Revenue from operations (Rs. mn)</t>
        </is>
      </c>
      <c r="B9" s="80" t="n">
        <v>74976.46000000001</v>
      </c>
      <c r="C9" s="80" t="n">
        <v>58182.96</v>
      </c>
      <c r="D9" s="80" t="n">
        <v>46853.72</v>
      </c>
      <c r="E9" s="80" t="n">
        <v>46222.7</v>
      </c>
      <c r="F9" s="80" t="n">
        <v>42780.62</v>
      </c>
      <c r="G9" s="80" t="n">
        <v>31266.82</v>
      </c>
      <c r="H9" s="80" t="n">
        <v>20556.85</v>
      </c>
      <c r="I9" s="80" t="n">
        <v>16495.18</v>
      </c>
      <c r="J9" s="80" t="n">
        <v>14073.07</v>
      </c>
      <c r="K9" s="80" t="n">
        <v>11453.3</v>
      </c>
      <c r="L9" s="80" t="n">
        <v>10354.85</v>
      </c>
      <c r="M9" s="80" t="n">
        <v>8663.940000000001</v>
      </c>
    </row>
    <row r="10" ht="15" customHeight="1" s="46">
      <c r="A10" s="58" t="inlineStr">
        <is>
          <t>Restated loss for the period (Rs. mn)</t>
        </is>
      </c>
      <c r="B10" s="80" t="n">
        <v>-15386.73</v>
      </c>
      <c r="C10" s="80" t="n">
        <v>-16888.48</v>
      </c>
      <c r="D10" s="80" t="n">
        <v>-16176.26</v>
      </c>
      <c r="E10" s="80" t="n">
        <v>-10600.45</v>
      </c>
      <c r="F10" s="80" t="n">
        <v>-18319.13</v>
      </c>
      <c r="G10" s="80" t="n">
        <v>-16727.3</v>
      </c>
      <c r="H10" s="80" t="n">
        <v>-7996.62</v>
      </c>
      <c r="I10" s="80" t="n">
        <v>-3954.09</v>
      </c>
      <c r="J10" s="80" t="n">
        <v>-3922.63</v>
      </c>
      <c r="K10" s="80" t="n">
        <v>-3137.39</v>
      </c>
      <c r="L10" s="80" t="n">
        <v>-2568.03</v>
      </c>
      <c r="M10" s="80" t="n">
        <v>-2519.89</v>
      </c>
    </row>
    <row r="11" ht="15" customHeight="1" s="46">
      <c r="A11" s="58" t="inlineStr">
        <is>
          <t>Free Cash Flow (Rs. mn)</t>
        </is>
      </c>
      <c r="B11" s="80" t="n">
        <v>-8822.23</v>
      </c>
      <c r="C11" s="80" t="n">
        <v>-10608.04</v>
      </c>
      <c r="D11" s="80" t="n">
        <v>-13827.49</v>
      </c>
      <c r="E11" s="80" t="n">
        <v>-10037.66</v>
      </c>
      <c r="F11" s="80" t="n">
        <v>-21829.17</v>
      </c>
      <c r="G11" s="80" t="n">
        <v>-19388.59</v>
      </c>
      <c r="H11" s="80" t="n">
        <v>-8712.370000000001</v>
      </c>
      <c r="I11" s="80" t="n">
        <v>-3394.76</v>
      </c>
      <c r="J11" s="80" t="n">
        <v>-3688.3</v>
      </c>
      <c r="K11" s="80" t="n">
        <v>-3768.86</v>
      </c>
      <c r="L11" s="80" t="n">
        <v>-2430.16</v>
      </c>
      <c r="M11" s="80" t="n">
        <v>-2526.51</v>
      </c>
    </row>
    <row r="12" ht="15" customHeight="1" s="46">
      <c r="A12" s="58" t="inlineStr">
        <is>
          <t>Net cash used in operations (Rs. mn)</t>
        </is>
      </c>
      <c r="B12" s="80" t="n">
        <v>-6848.87</v>
      </c>
      <c r="C12" s="80" t="n">
        <v>-8640.129999999999</v>
      </c>
      <c r="D12" s="80" t="n">
        <v>-11345.96</v>
      </c>
      <c r="E12" s="80" t="n">
        <v>-7789.46</v>
      </c>
      <c r="F12" s="80" t="n">
        <v>-19911.83</v>
      </c>
      <c r="G12" s="80" t="n">
        <v>-16001.14</v>
      </c>
      <c r="H12" s="80" t="n">
        <v>-7406.65</v>
      </c>
      <c r="I12" s="80" t="n">
        <v>-2928.72</v>
      </c>
      <c r="J12" s="80" t="n">
        <v>-3249.64</v>
      </c>
      <c r="K12" s="80" t="n">
        <v>-3455.66</v>
      </c>
      <c r="L12" s="80" t="n">
        <v>-2060.11</v>
      </c>
      <c r="M12" s="80" t="n">
        <v>-2213.39</v>
      </c>
    </row>
    <row r="13" ht="15" customHeight="1" s="46">
      <c r="A13" s="58" t="inlineStr">
        <is>
          <t>Closing cash incl. investments (Rs. mn)</t>
        </is>
      </c>
      <c r="B13" s="80" t="n">
        <v>56805.27</v>
      </c>
      <c r="C13" s="80" t="n">
        <v>65627.50999999999</v>
      </c>
      <c r="D13" s="80" t="n">
        <v>50542.59</v>
      </c>
      <c r="E13" s="80" t="n">
        <v>64370.06</v>
      </c>
      <c r="F13" s="80" t="n">
        <v>74407.72</v>
      </c>
      <c r="G13" s="80" t="n">
        <v>96264.89</v>
      </c>
      <c r="H13" s="80" t="n">
        <v>87239.37</v>
      </c>
      <c r="I13" s="80" t="n">
        <v>13213.14</v>
      </c>
      <c r="J13" s="80" t="n">
        <v>16882.61</v>
      </c>
      <c r="K13" s="80" t="n">
        <v>21473.95</v>
      </c>
      <c r="L13" s="80" t="n">
        <v>21433.17</v>
      </c>
      <c r="M13" s="80" t="n">
        <v>7954.09</v>
      </c>
    </row>
  </sheetData>
  <mergeCells count="2">
    <mergeCell ref="A2:M2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45" min="1" max="1"/>
    <col width="16" customWidth="1" style="45" min="2" max="4"/>
  </cols>
  <sheetData>
    <row r="1" ht="17.35" customHeight="1" s="46">
      <c r="A1" s="53" t="inlineStr">
        <is>
          <t>Key Accounting Ratios &amp; Peer Comparison</t>
        </is>
      </c>
    </row>
    <row r="2" ht="15" customHeight="1" s="46">
      <c r="A2" s="54" t="inlineStr">
        <is>
          <t>Source: Other Financial Information &amp; Basis for Offer Price</t>
        </is>
      </c>
    </row>
    <row r="4" ht="15" customHeight="1" s="46">
      <c r="A4" s="74" t="inlineStr">
        <is>
          <t>Accounting ratio</t>
        </is>
      </c>
      <c r="B4" s="74" t="inlineStr">
        <is>
          <t>FY2026</t>
        </is>
      </c>
      <c r="C4" s="74" t="inlineStr">
        <is>
          <t>FY2025</t>
        </is>
      </c>
      <c r="D4" s="74" t="inlineStr">
        <is>
          <t>FY2024</t>
        </is>
      </c>
    </row>
    <row r="5" ht="15" customHeight="1" s="46">
      <c r="A5" s="56" t="inlineStr">
        <is>
          <t>Basic &amp; diluted EPS (Rs.)</t>
        </is>
      </c>
      <c r="B5" s="70" t="n">
        <v>-5.05</v>
      </c>
      <c r="C5" s="70" t="n">
        <v>-3.64</v>
      </c>
      <c r="D5" s="70" t="n">
        <v>-1.14</v>
      </c>
    </row>
    <row r="6" ht="15" customHeight="1" s="46">
      <c r="A6" s="56" t="inlineStr">
        <is>
          <t>Restated loss for the year (Rs. mn)</t>
        </is>
      </c>
      <c r="B6" s="62" t="n">
        <v>-59051.92</v>
      </c>
      <c r="C6" s="62" t="n">
        <v>-46997.14</v>
      </c>
      <c r="D6" s="62" t="n">
        <v>-12147.94</v>
      </c>
    </row>
    <row r="7" ht="15" customHeight="1" s="46">
      <c r="A7" s="56" t="inlineStr">
        <is>
          <t>Net Worth (Rs. mn)</t>
        </is>
      </c>
      <c r="B7" s="62" t="n">
        <v>35595.99</v>
      </c>
      <c r="C7" s="62" t="n">
        <v>61478.43</v>
      </c>
      <c r="D7" s="62" t="n">
        <v>28644.84</v>
      </c>
    </row>
    <row r="8" ht="15" customHeight="1" s="46">
      <c r="A8" s="56" t="inlineStr">
        <is>
          <t>Return on Net Worth (%)</t>
        </is>
      </c>
      <c r="B8" s="78" t="n">
        <v>-1.6589</v>
      </c>
      <c r="C8" s="78" t="n">
        <v>-0.7644</v>
      </c>
      <c r="D8" s="78" t="n">
        <v>-0.4241</v>
      </c>
    </row>
    <row r="9" ht="15" customHeight="1" s="46">
      <c r="A9" s="56" t="inlineStr">
        <is>
          <t>Net Asset Value per Share (Rs.)</t>
        </is>
      </c>
      <c r="B9" s="70" t="n">
        <v>2.95</v>
      </c>
      <c r="C9" s="70" t="n">
        <v>4.14</v>
      </c>
      <c r="D9" s="70" t="n">
        <v>2.49</v>
      </c>
    </row>
    <row r="10" ht="15" customHeight="1" s="46">
      <c r="A10" s="56" t="inlineStr">
        <is>
          <t>EBITDA (Rs. mn)</t>
        </is>
      </c>
      <c r="B10" s="62" t="n">
        <v>-47461.45</v>
      </c>
      <c r="C10" s="62" t="n">
        <v>-41536.5</v>
      </c>
      <c r="D10" s="62" t="n">
        <v>-10291.68</v>
      </c>
    </row>
    <row r="12" ht="15" customHeight="1" s="46">
      <c r="A12" s="57" t="inlineStr">
        <is>
          <t>Weighted-average ratios (FY24-26, per DRHP)</t>
        </is>
      </c>
    </row>
    <row r="13" ht="23.85" customHeight="1" s="46">
      <c r="A13" s="74" t="inlineStr">
        <is>
          <t>Metric</t>
        </is>
      </c>
      <c r="B13" s="74" t="inlineStr">
        <is>
          <t>Weighted Average</t>
        </is>
      </c>
    </row>
    <row r="14" ht="15" customHeight="1" s="46">
      <c r="A14" s="58" t="inlineStr">
        <is>
          <t>Basic/Diluted EPS (Rs.)</t>
        </is>
      </c>
      <c r="B14" s="81" t="n">
        <v>-3.93</v>
      </c>
    </row>
    <row r="15" ht="15" customHeight="1" s="46">
      <c r="A15" s="58" t="inlineStr">
        <is>
          <t>Return on Net Worth (%)</t>
        </is>
      </c>
      <c r="B15" s="66" t="n">
        <v>-1.1549</v>
      </c>
    </row>
    <row r="17" ht="15" customHeight="1" s="46">
      <c r="A17" s="57" t="inlineStr">
        <is>
          <t>Comparison with Listed Peers (FY2026, consolidated)</t>
        </is>
      </c>
    </row>
    <row r="18" ht="15" customHeight="1" s="46">
      <c r="A18" s="74" t="inlineStr">
        <is>
          <t>Company</t>
        </is>
      </c>
      <c r="B18" s="74" t="inlineStr">
        <is>
          <t>Revenue (Rs. mn)</t>
        </is>
      </c>
      <c r="C18" s="74" t="inlineStr">
        <is>
          <t>Diluted EPS (Rs.)</t>
        </is>
      </c>
      <c r="D18" s="74" t="inlineStr">
        <is>
          <t>RoNW %</t>
        </is>
      </c>
    </row>
    <row r="19" ht="15" customHeight="1" s="46">
      <c r="A19" s="82" t="inlineStr">
        <is>
          <t>Zepto (Our Company)</t>
        </is>
      </c>
      <c r="B19" s="62" t="n">
        <v>226235.84</v>
      </c>
      <c r="C19" s="83" t="n">
        <v>-5.05</v>
      </c>
      <c r="D19" s="84" t="n">
        <v>-1.6589</v>
      </c>
    </row>
    <row r="20" ht="15" customHeight="1" s="46">
      <c r="A20" s="58" t="inlineStr">
        <is>
          <t>Swiggy</t>
        </is>
      </c>
      <c r="B20" s="62" t="n">
        <v>230530</v>
      </c>
      <c r="C20" s="83" t="n">
        <v>-16.87</v>
      </c>
      <c r="D20" s="84" t="n">
        <v>-0.2268</v>
      </c>
    </row>
    <row r="21" ht="15" customHeight="1" s="46">
      <c r="A21" s="58" t="inlineStr">
        <is>
          <t>Eternal (Zomato)</t>
        </is>
      </c>
      <c r="B21" s="62" t="n">
        <v>543640</v>
      </c>
      <c r="C21" s="83" t="n">
        <v>0.39</v>
      </c>
      <c r="D21" s="84" t="n">
        <v>0.0118</v>
      </c>
    </row>
    <row r="22" ht="15" customHeight="1" s="46">
      <c r="A22" s="54" t="inlineStr">
        <is>
          <t>Note: Industry composite P/E (peers) = 635.05x (Eternal); Swiggy P/E not calculable (negative EPS). Zepto P/E to be set at pricing.</t>
        </is>
      </c>
    </row>
  </sheetData>
  <mergeCells count="3">
    <mergeCell ref="A22:D22"/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45" min="1" max="1"/>
    <col width="16" customWidth="1" style="45" min="2" max="4"/>
  </cols>
  <sheetData>
    <row r="1" ht="17.35" customHeight="1" s="46">
      <c r="A1" s="53" t="inlineStr">
        <is>
          <t>Disaggregated Revenue from Operations</t>
        </is>
      </c>
    </row>
    <row r="2" ht="15" customHeight="1" s="46">
      <c r="A2" s="54" t="inlineStr">
        <is>
          <t>Rs. in million | FY ended March 31</t>
        </is>
      </c>
    </row>
    <row r="4" ht="15" customHeight="1" s="46">
      <c r="A4" s="74" t="inlineStr">
        <is>
          <t>Revenue stream</t>
        </is>
      </c>
      <c r="B4" s="74" t="inlineStr">
        <is>
          <t>FY2026</t>
        </is>
      </c>
      <c r="C4" s="74" t="inlineStr">
        <is>
          <t>FY2025</t>
        </is>
      </c>
      <c r="D4" s="74" t="inlineStr">
        <is>
          <t>FY2024</t>
        </is>
      </c>
    </row>
    <row r="5" ht="15" customHeight="1" s="46">
      <c r="A5" s="56" t="inlineStr">
        <is>
          <t>Sale of traded goods</t>
        </is>
      </c>
      <c r="B5" s="62" t="n">
        <v>175879.23</v>
      </c>
      <c r="C5" s="62" t="n">
        <v>91447.72</v>
      </c>
      <c r="D5" s="62" t="n">
        <v>39051.89</v>
      </c>
    </row>
    <row r="6" ht="15" customHeight="1" s="46">
      <c r="A6" s="56" t="inlineStr">
        <is>
          <t>Warehousing, packaging &amp; last-mile charges</t>
        </is>
      </c>
      <c r="B6" s="62" t="n">
        <v>27798.4</v>
      </c>
      <c r="C6" s="62" t="n">
        <v>12055.84</v>
      </c>
      <c r="D6" s="62" t="n">
        <v>4984.41</v>
      </c>
    </row>
    <row r="7" ht="15" customHeight="1" s="46">
      <c r="A7" s="56" t="inlineStr">
        <is>
          <t>Platform services</t>
        </is>
      </c>
      <c r="B7" s="62" t="n">
        <v>5641.73</v>
      </c>
      <c r="C7" s="62" t="n">
        <v>927.8200000000001</v>
      </c>
      <c r="D7" s="62" t="n">
        <v>0</v>
      </c>
    </row>
    <row r="8" ht="15" customHeight="1" s="46">
      <c r="A8" s="56" t="inlineStr">
        <is>
          <t>Subscription fee</t>
        </is>
      </c>
      <c r="B8" s="62" t="n">
        <v>283.14</v>
      </c>
      <c r="C8" s="62" t="n">
        <v>70.06999999999999</v>
      </c>
      <c r="D8" s="62" t="n">
        <v>0</v>
      </c>
    </row>
    <row r="9" ht="15" customHeight="1" s="46">
      <c r="A9" s="56" t="inlineStr">
        <is>
          <t>Advertisement revenue</t>
        </is>
      </c>
      <c r="B9" s="62" t="n">
        <v>16357.26</v>
      </c>
      <c r="C9" s="62" t="n">
        <v>6512.41</v>
      </c>
      <c r="D9" s="62" t="n">
        <v>491.72</v>
      </c>
    </row>
    <row r="10" ht="15" customHeight="1" s="46">
      <c r="A10" s="56" t="inlineStr">
        <is>
          <t>Franchisee fees</t>
        </is>
      </c>
      <c r="B10" s="62" t="n">
        <v>144.64</v>
      </c>
      <c r="C10" s="62" t="n">
        <v>23.55</v>
      </c>
      <c r="D10" s="62" t="n">
        <v>0</v>
      </c>
    </row>
    <row r="11" ht="15" customHeight="1" s="46">
      <c r="A11" s="56" t="inlineStr">
        <is>
          <t>License (IP) charges</t>
        </is>
      </c>
      <c r="B11" s="62" t="n">
        <v>0</v>
      </c>
      <c r="C11" s="62" t="n">
        <v>13.39</v>
      </c>
      <c r="D11" s="62" t="n">
        <v>0</v>
      </c>
    </row>
    <row r="12" ht="15" customHeight="1" s="46">
      <c r="A12" s="56" t="inlineStr">
        <is>
          <t>Other operating revenue (scrap &amp; others)</t>
        </is>
      </c>
      <c r="B12" s="62" t="n">
        <v>131.44</v>
      </c>
      <c r="C12" s="62" t="n">
        <v>48.67</v>
      </c>
      <c r="D12" s="62" t="n">
        <v>17.14</v>
      </c>
    </row>
    <row r="13" ht="15" customHeight="1" s="46">
      <c r="A13" s="68" t="inlineStr">
        <is>
          <t>Total revenue from operations</t>
        </is>
      </c>
      <c r="B13" s="69" t="n">
        <v>226235.84</v>
      </c>
      <c r="C13" s="69" t="n">
        <v>111099.47</v>
      </c>
      <c r="D13" s="69" t="n">
        <v>44545.16</v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M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45" min="1" max="1"/>
    <col width="11" customWidth="1" style="45" min="2" max="13"/>
  </cols>
  <sheetData>
    <row r="1" ht="17.35" customHeight="1" s="46">
      <c r="A1" s="53" t="inlineStr">
        <is>
          <t>Restated Consolidated Quarterly Profit &amp; Loss</t>
        </is>
      </c>
    </row>
    <row r="2" ht="15" customHeight="1" s="46">
      <c r="A2" s="54" t="inlineStr">
        <is>
          <t>Rs. in million | most-recent quarter first. Q4FY26 = qtr ended 31-Mar-2026</t>
        </is>
      </c>
    </row>
    <row r="4" ht="15" customHeight="1" s="46">
      <c r="A4" s="79" t="inlineStr">
        <is>
          <t>Particulars</t>
        </is>
      </c>
      <c r="B4" s="79" t="inlineStr">
        <is>
          <t>Q4FY26</t>
        </is>
      </c>
      <c r="C4" s="79" t="inlineStr">
        <is>
          <t>Q3FY26</t>
        </is>
      </c>
      <c r="D4" s="79" t="inlineStr">
        <is>
          <t>Q2FY26</t>
        </is>
      </c>
      <c r="E4" s="79" t="inlineStr">
        <is>
          <t>Q1FY26</t>
        </is>
      </c>
      <c r="F4" s="79" t="inlineStr">
        <is>
          <t>Q4FY25</t>
        </is>
      </c>
      <c r="G4" s="79" t="inlineStr">
        <is>
          <t>Q3FY25</t>
        </is>
      </c>
      <c r="H4" s="79" t="inlineStr">
        <is>
          <t>Q2FY25</t>
        </is>
      </c>
      <c r="I4" s="79" t="inlineStr">
        <is>
          <t>Q1FY25</t>
        </is>
      </c>
      <c r="J4" s="79" t="inlineStr">
        <is>
          <t>Q4FY24</t>
        </is>
      </c>
      <c r="K4" s="79" t="inlineStr">
        <is>
          <t>Q3FY24</t>
        </is>
      </c>
      <c r="L4" s="79" t="inlineStr">
        <is>
          <t>Q2FY24</t>
        </is>
      </c>
      <c r="M4" s="79" t="inlineStr">
        <is>
          <t>Q1FY24</t>
        </is>
      </c>
    </row>
    <row r="5" ht="15" customHeight="1" s="46">
      <c r="A5" s="58" t="inlineStr">
        <is>
          <t>Revenue from operations</t>
        </is>
      </c>
      <c r="B5" s="80" t="n">
        <v>74976.46000000001</v>
      </c>
      <c r="C5" s="80" t="n">
        <v>58182.96</v>
      </c>
      <c r="D5" s="80" t="n">
        <v>46853.72</v>
      </c>
      <c r="E5" s="80" t="n">
        <v>46222.7</v>
      </c>
      <c r="F5" s="80" t="n">
        <v>42780.62</v>
      </c>
      <c r="G5" s="80" t="n">
        <v>31266.82</v>
      </c>
      <c r="H5" s="80" t="n">
        <v>20556.85</v>
      </c>
      <c r="I5" s="80" t="n">
        <v>16495.18</v>
      </c>
      <c r="J5" s="80" t="n">
        <v>14073.07</v>
      </c>
      <c r="K5" s="80" t="n">
        <v>11453.3</v>
      </c>
      <c r="L5" s="80" t="n">
        <v>10354.85</v>
      </c>
      <c r="M5" s="80" t="n">
        <v>8663.940000000001</v>
      </c>
    </row>
    <row r="6" ht="15" customHeight="1" s="46">
      <c r="A6" s="58" t="inlineStr">
        <is>
          <t>Other income</t>
        </is>
      </c>
      <c r="B6" s="80" t="n">
        <v>1119.8</v>
      </c>
      <c r="C6" s="80" t="n">
        <v>1171.02</v>
      </c>
      <c r="D6" s="80" t="n">
        <v>1143.37</v>
      </c>
      <c r="E6" s="80" t="n">
        <v>1613.75</v>
      </c>
      <c r="F6" s="80" t="n">
        <v>1806.62</v>
      </c>
      <c r="G6" s="80" t="n">
        <v>1709.4</v>
      </c>
      <c r="H6" s="80" t="n">
        <v>1155.6</v>
      </c>
      <c r="I6" s="80" t="n">
        <v>256.45</v>
      </c>
      <c r="J6" s="80" t="n">
        <v>301.4</v>
      </c>
      <c r="K6" s="80" t="n">
        <v>322.96</v>
      </c>
      <c r="L6" s="80" t="n">
        <v>169.54</v>
      </c>
      <c r="M6" s="80" t="n">
        <v>102.66</v>
      </c>
    </row>
    <row r="7" ht="15" customHeight="1" s="46">
      <c r="A7" s="60" t="inlineStr">
        <is>
          <t>Total income</t>
        </is>
      </c>
      <c r="B7" s="85" t="n">
        <v>76096.25999999999</v>
      </c>
      <c r="C7" s="85" t="n">
        <v>59353.98</v>
      </c>
      <c r="D7" s="85" t="n">
        <v>47997.09</v>
      </c>
      <c r="E7" s="85" t="n">
        <v>47836.45</v>
      </c>
      <c r="F7" s="85" t="n">
        <v>44587.24</v>
      </c>
      <c r="G7" s="85" t="n">
        <v>32976.22</v>
      </c>
      <c r="H7" s="85" t="n">
        <v>21712.45</v>
      </c>
      <c r="I7" s="85" t="n">
        <v>16751.63</v>
      </c>
      <c r="J7" s="85" t="n">
        <v>14374.47</v>
      </c>
      <c r="K7" s="85" t="n">
        <v>11776.26</v>
      </c>
      <c r="L7" s="85" t="n">
        <v>10524.39</v>
      </c>
      <c r="M7" s="85" t="n">
        <v>8766.6</v>
      </c>
    </row>
    <row r="8" ht="15" customHeight="1" s="46">
      <c r="A8" s="58" t="inlineStr">
        <is>
          <t>Purchase of traded goods</t>
        </is>
      </c>
      <c r="B8" s="80" t="n">
        <v>62912.71</v>
      </c>
      <c r="C8" s="80" t="n">
        <v>48748.24</v>
      </c>
      <c r="D8" s="80" t="n">
        <v>38672.04</v>
      </c>
      <c r="E8" s="80" t="n">
        <v>34516.76</v>
      </c>
      <c r="F8" s="80" t="n">
        <v>39405.8</v>
      </c>
      <c r="G8" s="80" t="n">
        <v>28988.33</v>
      </c>
      <c r="H8" s="80" t="n">
        <v>18536.94</v>
      </c>
      <c r="I8" s="80" t="n">
        <v>13329.11</v>
      </c>
      <c r="J8" s="80" t="n">
        <v>10657.26</v>
      </c>
      <c r="K8" s="80" t="n">
        <v>9198.01</v>
      </c>
      <c r="L8" s="80" t="n">
        <v>7763.33</v>
      </c>
      <c r="M8" s="80" t="n">
        <v>7008.13</v>
      </c>
    </row>
    <row r="9" ht="15" customHeight="1" s="46">
      <c r="A9" s="58" t="inlineStr">
        <is>
          <t>Change in inventories of traded goods</t>
        </is>
      </c>
      <c r="B9" s="80" t="n">
        <v>-1786.39</v>
      </c>
      <c r="C9" s="80" t="n">
        <v>-1181.77</v>
      </c>
      <c r="D9" s="80" t="n">
        <v>-874.8200000000001</v>
      </c>
      <c r="E9" s="80" t="n">
        <v>976.91</v>
      </c>
      <c r="F9" s="80" t="n">
        <v>-1635.43</v>
      </c>
      <c r="G9" s="80" t="n">
        <v>-1429.64</v>
      </c>
      <c r="H9" s="80" t="n">
        <v>-1191.8</v>
      </c>
      <c r="I9" s="80" t="n">
        <v>-582.08</v>
      </c>
      <c r="J9" s="80" t="n">
        <v>-135.09</v>
      </c>
      <c r="K9" s="80" t="n">
        <v>-289.38</v>
      </c>
      <c r="L9" s="80" t="n">
        <v>538.9299999999999</v>
      </c>
      <c r="M9" s="80" t="n">
        <v>197.4</v>
      </c>
    </row>
    <row r="10" ht="15" customHeight="1" s="46">
      <c r="A10" s="58" t="inlineStr">
        <is>
          <t>Delivery and handling expense</t>
        </is>
      </c>
      <c r="B10" s="80" t="n">
        <v>10111.9</v>
      </c>
      <c r="C10" s="80" t="n">
        <v>8015.23</v>
      </c>
      <c r="D10" s="80" t="n">
        <v>6436.72</v>
      </c>
      <c r="E10" s="80" t="n">
        <v>5899.56</v>
      </c>
      <c r="F10" s="80" t="n">
        <v>6013.06</v>
      </c>
      <c r="G10" s="80" t="n">
        <v>4680.55</v>
      </c>
      <c r="H10" s="80" t="n">
        <v>3149.44</v>
      </c>
      <c r="I10" s="80" t="n">
        <v>2146.3</v>
      </c>
      <c r="J10" s="80" t="n">
        <v>2013.68</v>
      </c>
      <c r="K10" s="80" t="n">
        <v>1508.07</v>
      </c>
      <c r="L10" s="80" t="n">
        <v>1206.55</v>
      </c>
      <c r="M10" s="80" t="n">
        <v>1080.42</v>
      </c>
    </row>
    <row r="11" ht="15" customHeight="1" s="46">
      <c r="A11" s="58" t="inlineStr">
        <is>
          <t>Employee benefits expense</t>
        </is>
      </c>
      <c r="B11" s="80" t="n">
        <v>6403.38</v>
      </c>
      <c r="C11" s="80" t="n">
        <v>4220.01</v>
      </c>
      <c r="D11" s="80" t="n">
        <v>3800.62</v>
      </c>
      <c r="E11" s="80" t="n">
        <v>3422.66</v>
      </c>
      <c r="F11" s="80" t="n">
        <v>4178.23</v>
      </c>
      <c r="G11" s="80" t="n">
        <v>4366.48</v>
      </c>
      <c r="H11" s="80" t="n">
        <v>1981.41</v>
      </c>
      <c r="I11" s="80" t="n">
        <v>1880.31</v>
      </c>
      <c r="J11" s="80" t="n">
        <v>1408.53</v>
      </c>
      <c r="K11" s="80" t="n">
        <v>1040.08</v>
      </c>
      <c r="L11" s="80" t="n">
        <v>1030.18</v>
      </c>
      <c r="M11" s="80" t="n">
        <v>783.15</v>
      </c>
    </row>
    <row r="12" ht="15" customHeight="1" s="46">
      <c r="A12" s="60" t="inlineStr">
        <is>
          <t>Restated loss for the period</t>
        </is>
      </c>
      <c r="B12" s="85" t="n">
        <v>-15386.73</v>
      </c>
      <c r="C12" s="85" t="n">
        <v>-16888.48</v>
      </c>
      <c r="D12" s="85" t="n">
        <v>-16176.26</v>
      </c>
      <c r="E12" s="85" t="n">
        <v>-10600.45</v>
      </c>
      <c r="F12" s="85" t="n">
        <v>-18319.13</v>
      </c>
      <c r="G12" s="85" t="n">
        <v>-16727.3</v>
      </c>
      <c r="H12" s="85" t="n">
        <v>-7996.62</v>
      </c>
      <c r="I12" s="85" t="n">
        <v>-3954.09</v>
      </c>
      <c r="J12" s="85" t="n">
        <v>-3922.63</v>
      </c>
      <c r="K12" s="85" t="n">
        <v>-3137.39</v>
      </c>
      <c r="L12" s="85" t="n">
        <v>-2568.03</v>
      </c>
      <c r="M12" s="85" t="n">
        <v>-2519.89</v>
      </c>
    </row>
    <row r="13" ht="15" customHeight="1" s="46">
      <c r="A13" s="58" t="inlineStr">
        <is>
          <t>Basic &amp; diluted EPS (Rs.)</t>
        </is>
      </c>
      <c r="B13" s="86" t="n">
        <v>-1.28</v>
      </c>
      <c r="C13" s="86" t="n">
        <v>-1.43</v>
      </c>
      <c r="D13" s="86" t="n">
        <v>-1.08</v>
      </c>
      <c r="E13" s="86" t="n">
        <v>-0.71</v>
      </c>
      <c r="F13" s="86" t="n">
        <v>-1.23</v>
      </c>
      <c r="G13" s="86" t="n">
        <v>-1.18</v>
      </c>
      <c r="H13" s="86" t="n">
        <v>-0.64</v>
      </c>
      <c r="I13" s="86" t="n">
        <v>-0.39</v>
      </c>
      <c r="J13" s="86" t="n">
        <v>-0.34</v>
      </c>
      <c r="K13" s="86" t="n">
        <v>-0.28</v>
      </c>
      <c r="L13" s="86" t="n">
        <v>-0.26</v>
      </c>
      <c r="M13" s="86" t="n">
        <v>-0.27</v>
      </c>
    </row>
  </sheetData>
  <mergeCells count="2">
    <mergeCell ref="A2:M2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M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45" min="1" max="1"/>
    <col width="11" customWidth="1" style="45" min="2" max="13"/>
  </cols>
  <sheetData>
    <row r="1" ht="17.35" customHeight="1" s="46">
      <c r="A1" s="53" t="inlineStr">
        <is>
          <t>Restated Consolidated Quarterly Assets &amp; Liabilities (key lines)</t>
        </is>
      </c>
    </row>
    <row r="2" ht="15" customHeight="1" s="46">
      <c r="A2" s="54" t="inlineStr">
        <is>
          <t>Rs. in million | as at quarter-end, most recent first</t>
        </is>
      </c>
    </row>
    <row r="4" ht="15" customHeight="1" s="46">
      <c r="A4" s="79" t="inlineStr">
        <is>
          <t>Particulars</t>
        </is>
      </c>
      <c r="B4" s="79" t="inlineStr">
        <is>
          <t>Q4FY26</t>
        </is>
      </c>
      <c r="C4" s="79" t="inlineStr">
        <is>
          <t>Q3FY26</t>
        </is>
      </c>
      <c r="D4" s="79" t="inlineStr">
        <is>
          <t>Q2FY26</t>
        </is>
      </c>
      <c r="E4" s="79" t="inlineStr">
        <is>
          <t>Q1FY26</t>
        </is>
      </c>
      <c r="F4" s="79" t="inlineStr">
        <is>
          <t>Q4FY25</t>
        </is>
      </c>
      <c r="G4" s="79" t="inlineStr">
        <is>
          <t>Q3FY25</t>
        </is>
      </c>
      <c r="H4" s="79" t="inlineStr">
        <is>
          <t>Q2FY25</t>
        </is>
      </c>
      <c r="I4" s="79" t="inlineStr">
        <is>
          <t>Q1FY25</t>
        </is>
      </c>
      <c r="J4" s="79" t="inlineStr">
        <is>
          <t>Q4FY24</t>
        </is>
      </c>
      <c r="K4" s="79" t="inlineStr">
        <is>
          <t>Q3FY24</t>
        </is>
      </c>
      <c r="L4" s="79" t="inlineStr">
        <is>
          <t>Q2FY24</t>
        </is>
      </c>
      <c r="M4" s="79" t="inlineStr">
        <is>
          <t>Q1FY24</t>
        </is>
      </c>
    </row>
    <row r="5" ht="15" customHeight="1" s="46">
      <c r="A5" s="58" t="inlineStr">
        <is>
          <t>Total non-current assets</t>
        </is>
      </c>
      <c r="B5" s="80" t="n">
        <v>38716.59</v>
      </c>
      <c r="C5" s="80" t="n">
        <v>38563.43</v>
      </c>
      <c r="D5" s="80" t="n">
        <v>38240.45</v>
      </c>
      <c r="E5" s="80" t="n">
        <v>36684.42</v>
      </c>
      <c r="F5" s="80" t="n">
        <v>36751.39</v>
      </c>
      <c r="G5" s="80" t="n">
        <v>36099.02</v>
      </c>
      <c r="H5" s="80" t="n">
        <v>28155.69</v>
      </c>
      <c r="I5" s="80" t="n">
        <v>7169.41</v>
      </c>
      <c r="J5" s="80" t="n">
        <v>5343.41</v>
      </c>
      <c r="K5" s="80" t="n">
        <v>5252.55</v>
      </c>
      <c r="L5" s="80" t="n">
        <v>4538.97</v>
      </c>
      <c r="M5" s="80" t="n">
        <v>3853.83</v>
      </c>
    </row>
    <row r="6" ht="15" customHeight="1" s="46">
      <c r="A6" s="58" t="inlineStr">
        <is>
          <t>Total current assets</t>
        </is>
      </c>
      <c r="B6" s="80" t="n">
        <v>96384.48</v>
      </c>
      <c r="C6" s="80" t="n">
        <v>102060.49</v>
      </c>
      <c r="D6" s="80" t="n">
        <v>86237.42999999999</v>
      </c>
      <c r="E6" s="80" t="n">
        <v>97972.03</v>
      </c>
      <c r="F6" s="80" t="n">
        <v>101249.9</v>
      </c>
      <c r="G6" s="80" t="n">
        <v>106653.96</v>
      </c>
      <c r="H6" s="80" t="n">
        <v>84994.85000000001</v>
      </c>
      <c r="I6" s="80" t="n">
        <v>21616.27</v>
      </c>
      <c r="J6" s="80" t="n">
        <v>23639.27</v>
      </c>
      <c r="K6" s="80" t="n">
        <v>27754.2</v>
      </c>
      <c r="L6" s="80" t="n">
        <v>26843.91</v>
      </c>
      <c r="M6" s="80" t="n">
        <v>12485.95</v>
      </c>
    </row>
    <row r="7" ht="15" customHeight="1" s="46">
      <c r="A7" s="60" t="inlineStr">
        <is>
          <t>Total assets</t>
        </is>
      </c>
      <c r="B7" s="85" t="n">
        <v>135101.07</v>
      </c>
      <c r="C7" s="85" t="n">
        <v>140623.92</v>
      </c>
      <c r="D7" s="85" t="n">
        <v>124477.88</v>
      </c>
      <c r="E7" s="85" t="n">
        <v>134656.45</v>
      </c>
      <c r="F7" s="85" t="n">
        <v>138001.29</v>
      </c>
      <c r="G7" s="85" t="n">
        <v>142752.98</v>
      </c>
      <c r="H7" s="85" t="n">
        <v>113150.54</v>
      </c>
      <c r="I7" s="85" t="n">
        <v>28785.68</v>
      </c>
      <c r="J7" s="85" t="n">
        <v>28982.68</v>
      </c>
      <c r="K7" s="85" t="n">
        <v>33006.75</v>
      </c>
      <c r="L7" s="85" t="n">
        <v>31382.88</v>
      </c>
      <c r="M7" s="85" t="n">
        <v>16339.78</v>
      </c>
    </row>
    <row r="8" ht="15" customHeight="1" s="46">
      <c r="A8" s="60" t="inlineStr">
        <is>
          <t>Total equity</t>
        </is>
      </c>
      <c r="B8" s="85" t="n">
        <v>59978.87</v>
      </c>
      <c r="C8" s="85" t="n">
        <v>73066.86</v>
      </c>
      <c r="D8" s="85" t="n">
        <v>60981.91</v>
      </c>
      <c r="E8" s="85" t="n">
        <v>76120.34</v>
      </c>
      <c r="F8" s="85" t="n">
        <v>85861.31</v>
      </c>
      <c r="G8" s="85" t="n">
        <v>103037.13</v>
      </c>
      <c r="H8" s="85" t="n">
        <v>89002.89</v>
      </c>
      <c r="I8" s="85" t="n">
        <v>14069.56</v>
      </c>
      <c r="J8" s="85" t="n">
        <v>17171.94</v>
      </c>
      <c r="K8" s="85" t="n">
        <v>20638.46</v>
      </c>
      <c r="L8" s="85" t="n">
        <v>20306.6</v>
      </c>
      <c r="M8" s="85" t="n">
        <v>6695.82</v>
      </c>
    </row>
    <row r="9" ht="15" customHeight="1" s="46">
      <c r="A9" s="58" t="inlineStr">
        <is>
          <t>Total non-current liabilities</t>
        </is>
      </c>
      <c r="B9" s="80" t="n">
        <v>22045.18</v>
      </c>
      <c r="C9" s="80" t="n">
        <v>21949.66</v>
      </c>
      <c r="D9" s="80" t="n">
        <v>22163.73</v>
      </c>
      <c r="E9" s="80" t="n">
        <v>21418.08</v>
      </c>
      <c r="F9" s="80" t="n">
        <v>18666.73</v>
      </c>
      <c r="G9" s="80" t="n">
        <v>16394.57</v>
      </c>
      <c r="H9" s="80" t="n">
        <v>9376.129999999999</v>
      </c>
      <c r="I9" s="80" t="n">
        <v>4666.93</v>
      </c>
      <c r="J9" s="80" t="n">
        <v>3464.25</v>
      </c>
      <c r="K9" s="80" t="n">
        <v>3563.79</v>
      </c>
      <c r="L9" s="80" t="n">
        <v>2434.57</v>
      </c>
      <c r="M9" s="80" t="n">
        <v>1980.82</v>
      </c>
    </row>
    <row r="10" ht="15" customHeight="1" s="46">
      <c r="A10" s="58" t="inlineStr">
        <is>
          <t>Total current liabilities</t>
        </is>
      </c>
      <c r="B10" s="80" t="n">
        <v>53077.02</v>
      </c>
      <c r="C10" s="80" t="n">
        <v>45607.4</v>
      </c>
      <c r="D10" s="80" t="n">
        <v>41332.24</v>
      </c>
      <c r="E10" s="80" t="n">
        <v>37118.03</v>
      </c>
      <c r="F10" s="80" t="n">
        <v>33473.25</v>
      </c>
      <c r="G10" s="80" t="n">
        <v>23321.28</v>
      </c>
      <c r="H10" s="80" t="n">
        <v>14771.52</v>
      </c>
      <c r="I10" s="80" t="n">
        <v>10049.19</v>
      </c>
      <c r="J10" s="80" t="n">
        <v>8346.49</v>
      </c>
      <c r="K10" s="80" t="n">
        <v>8804.5</v>
      </c>
      <c r="L10" s="80" t="n">
        <v>8641.709999999999</v>
      </c>
      <c r="M10" s="80" t="n">
        <v>7663.14</v>
      </c>
    </row>
    <row r="11" ht="15" customHeight="1" s="46">
      <c r="A11" s="60" t="inlineStr">
        <is>
          <t>Total liabilities</t>
        </is>
      </c>
      <c r="B11" s="85" t="n">
        <v>75122.2</v>
      </c>
      <c r="C11" s="85" t="n">
        <v>67557.06</v>
      </c>
      <c r="D11" s="85" t="n">
        <v>63495.97</v>
      </c>
      <c r="E11" s="85" t="n">
        <v>58536.11</v>
      </c>
      <c r="F11" s="85" t="n">
        <v>52139.98</v>
      </c>
      <c r="G11" s="85" t="n">
        <v>39715.85</v>
      </c>
      <c r="H11" s="85" t="n">
        <v>24147.65</v>
      </c>
      <c r="I11" s="85" t="n">
        <v>14716.12</v>
      </c>
      <c r="J11" s="85" t="n">
        <v>11810.74</v>
      </c>
      <c r="K11" s="85" t="n">
        <v>12368.29</v>
      </c>
      <c r="L11" s="85" t="n">
        <v>11076.28</v>
      </c>
      <c r="M11" s="85" t="n">
        <v>9643.959999999999</v>
      </c>
    </row>
    <row r="12" ht="15" customHeight="1" s="46">
      <c r="A12" s="58" t="inlineStr">
        <is>
          <t>Net Worth (per DRHP)</t>
        </is>
      </c>
      <c r="B12" s="80" t="n">
        <v>35595.99</v>
      </c>
      <c r="C12" s="80" t="n">
        <v>48683.98</v>
      </c>
      <c r="D12" s="80" t="n">
        <v>36599.03</v>
      </c>
      <c r="E12" s="80" t="n">
        <v>51737.46</v>
      </c>
      <c r="F12" s="80" t="n">
        <v>61478.43</v>
      </c>
      <c r="G12" s="80" t="n">
        <v>52433.89</v>
      </c>
      <c r="H12" s="80" t="n">
        <v>38408.87</v>
      </c>
      <c r="I12" s="80" t="n">
        <v>25259.18</v>
      </c>
      <c r="J12" s="80" t="n">
        <v>28644.84</v>
      </c>
      <c r="K12" s="80" t="n">
        <v>32107.26</v>
      </c>
      <c r="L12" s="80" t="n">
        <v>33663.11</v>
      </c>
      <c r="M12" s="80" t="n">
        <v>27941.43</v>
      </c>
    </row>
    <row r="13" ht="15" customHeight="1" s="46">
      <c r="A13" s="58" t="inlineStr">
        <is>
          <t>EBITDA</t>
        </is>
      </c>
      <c r="B13" s="80" t="n">
        <v>-12262.49</v>
      </c>
      <c r="C13" s="80" t="n">
        <v>-13923.63</v>
      </c>
      <c r="D13" s="80" t="n">
        <v>-13294.22</v>
      </c>
      <c r="E13" s="80" t="n">
        <v>-7981.11</v>
      </c>
      <c r="F13" s="80" t="n">
        <v>-16069.47</v>
      </c>
      <c r="G13" s="80" t="n">
        <v>-15113.92</v>
      </c>
      <c r="H13" s="80" t="n">
        <v>-7097.12</v>
      </c>
      <c r="I13" s="80" t="n">
        <v>-3255.99</v>
      </c>
      <c r="J13" s="80" t="n">
        <v>-3315.81</v>
      </c>
      <c r="K13" s="80" t="n">
        <v>-2657.56</v>
      </c>
      <c r="L13" s="80" t="n">
        <v>-2159.39</v>
      </c>
      <c r="M13" s="80" t="n">
        <v>-2158.92</v>
      </c>
    </row>
  </sheetData>
  <mergeCells count="2">
    <mergeCell ref="A2:M2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D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45" min="1" max="1"/>
    <col width="44" customWidth="1" style="45" min="2" max="2"/>
    <col width="20" customWidth="1" style="45" min="3" max="3"/>
    <col width="14" customWidth="1" style="45" min="4" max="4"/>
  </cols>
  <sheetData>
    <row r="1" ht="17.35" customHeight="1" s="46">
      <c r="A1" s="53" t="inlineStr">
        <is>
          <t>Shareholding (as on date of UDRHP-I)</t>
        </is>
      </c>
    </row>
    <row r="2" ht="15" customHeight="1" s="46">
      <c r="A2" s="54" t="inlineStr">
        <is>
          <t>Holders of 1%+ on fully-diluted basis (assuming full conversion of preference shares)</t>
        </is>
      </c>
    </row>
    <row r="4" ht="22.35" customHeight="1" s="46">
      <c r="A4" s="87" t="inlineStr">
        <is>
          <t>#</t>
        </is>
      </c>
      <c r="B4" s="87" t="inlineStr">
        <is>
          <t>Shareholder</t>
        </is>
      </c>
      <c r="C4" s="87" t="inlineStr">
        <is>
          <t>Equity shares (fully diluted)</t>
        </is>
      </c>
      <c r="D4" s="87" t="inlineStr">
        <is>
          <t>% pre-Offer</t>
        </is>
      </c>
    </row>
    <row r="5" ht="15" customHeight="1" s="46">
      <c r="A5" s="88" t="n">
        <v>1</v>
      </c>
      <c r="B5" s="82" t="inlineStr">
        <is>
          <t>Lazarus Trust (Promoter)</t>
        </is>
      </c>
      <c r="C5" s="59" t="n">
        <v>1138384797</v>
      </c>
      <c r="D5" s="89" t="n">
        <v>0.09030000000000001</v>
      </c>
    </row>
    <row r="6" ht="15" customHeight="1" s="46">
      <c r="A6" s="88" t="n">
        <v>2</v>
      </c>
      <c r="B6" s="58" t="inlineStr">
        <is>
          <t>Nexus Ventures VI Holdings, LLC</t>
        </is>
      </c>
      <c r="C6" s="59" t="n">
        <v>1080645249</v>
      </c>
      <c r="D6" s="89" t="n">
        <v>0.0857</v>
      </c>
    </row>
    <row r="7" ht="15" customHeight="1" s="46">
      <c r="A7" s="88" t="n">
        <v>3</v>
      </c>
      <c r="B7" s="58" t="inlineStr">
        <is>
          <t>Glade Brook Private Investors XXXIV LP</t>
        </is>
      </c>
      <c r="C7" s="59" t="n">
        <v>974291091</v>
      </c>
      <c r="D7" s="89" t="n">
        <v>0.07729999999999999</v>
      </c>
    </row>
    <row r="8" ht="15" customHeight="1" s="46">
      <c r="A8" s="88" t="n">
        <v>4</v>
      </c>
      <c r="B8" s="82" t="inlineStr">
        <is>
          <t>The Vohra Trust (Promoter)</t>
        </is>
      </c>
      <c r="C8" s="59" t="n">
        <v>943054929</v>
      </c>
      <c r="D8" s="89" t="n">
        <v>0.07480000000000001</v>
      </c>
    </row>
    <row r="9" ht="15" customHeight="1" s="46">
      <c r="A9" s="88" t="n">
        <v>5</v>
      </c>
      <c r="B9" s="58" t="inlineStr">
        <is>
          <t>Zepto Employee Stock Option Trust</t>
        </is>
      </c>
      <c r="C9" s="59" t="n">
        <v>940439085</v>
      </c>
      <c r="D9" s="89" t="n">
        <v>0.0746</v>
      </c>
    </row>
    <row r="10" ht="15" customHeight="1" s="46">
      <c r="A10" s="88" t="n">
        <v>6</v>
      </c>
      <c r="B10" s="58" t="inlineStr">
        <is>
          <t>StepStone VC Zepto, LLC</t>
        </is>
      </c>
      <c r="C10" s="59" t="n">
        <v>924534432</v>
      </c>
      <c r="D10" s="89" t="n">
        <v>0.07340000000000001</v>
      </c>
    </row>
    <row r="11" ht="15" customHeight="1" s="46">
      <c r="A11" s="88" t="n">
        <v>7</v>
      </c>
      <c r="B11" s="58" t="inlineStr">
        <is>
          <t>Nexus Ventures VII Holdings, LLC</t>
        </is>
      </c>
      <c r="C11" s="59" t="n">
        <v>572851127</v>
      </c>
      <c r="D11" s="89" t="n">
        <v>0.0455</v>
      </c>
    </row>
    <row r="12" ht="15" customHeight="1" s="46">
      <c r="A12" s="88" t="n">
        <v>8</v>
      </c>
      <c r="B12" s="58" t="inlineStr">
        <is>
          <t>LGF Scale II (Mars) Limited</t>
        </is>
      </c>
      <c r="C12" s="59" t="n">
        <v>360250019</v>
      </c>
      <c r="D12" s="89" t="n">
        <v>0.0286</v>
      </c>
    </row>
    <row r="13" ht="15" customHeight="1" s="46">
      <c r="A13" s="88" t="n">
        <v>9</v>
      </c>
      <c r="B13" s="58" t="inlineStr">
        <is>
          <t>YCC20, L.P.</t>
        </is>
      </c>
      <c r="C13" s="59" t="n">
        <v>359210010</v>
      </c>
      <c r="D13" s="89" t="n">
        <v>0.0285</v>
      </c>
    </row>
    <row r="14" ht="15" customHeight="1" s="46">
      <c r="A14" s="88" t="n">
        <v>10</v>
      </c>
      <c r="B14" s="58" t="inlineStr">
        <is>
          <t>LGF Scale (Mars) Limited</t>
        </is>
      </c>
      <c r="C14" s="59" t="n">
        <v>342716902</v>
      </c>
      <c r="D14" s="89" t="n">
        <v>0.0272</v>
      </c>
    </row>
    <row r="15" ht="15" customHeight="1" s="46">
      <c r="A15" s="88" t="n">
        <v>11</v>
      </c>
      <c r="B15" s="58" t="inlineStr">
        <is>
          <t>GC India Inv. Holdings - Bear Coast (Ventures)</t>
        </is>
      </c>
      <c r="C15" s="59" t="n">
        <v>294096928</v>
      </c>
      <c r="D15" s="89" t="n">
        <v>0.0233</v>
      </c>
    </row>
    <row r="16" ht="15" customHeight="1" s="46">
      <c r="A16" s="88" t="n">
        <v>12</v>
      </c>
      <c r="B16" s="58" t="inlineStr">
        <is>
          <t>YCC20 (India) Ltd.</t>
        </is>
      </c>
      <c r="C16" s="59" t="n">
        <v>275100390</v>
      </c>
      <c r="D16" s="89" t="n">
        <v>0.0218</v>
      </c>
    </row>
    <row r="17" ht="15" customHeight="1" s="46">
      <c r="A17" s="88" t="n">
        <v>13</v>
      </c>
      <c r="B17" s="58" t="inlineStr">
        <is>
          <t>GC India Inv. Holdings - Grp XII - Endurance</t>
        </is>
      </c>
      <c r="C17" s="59" t="n">
        <v>251729874</v>
      </c>
      <c r="D17" s="89" t="n">
        <v>0.02</v>
      </c>
    </row>
    <row r="18" ht="15" customHeight="1" s="46">
      <c r="A18" s="88" t="n">
        <v>14</v>
      </c>
      <c r="B18" s="58" t="inlineStr">
        <is>
          <t>Goodwater Infinity III, L.P.</t>
        </is>
      </c>
      <c r="C18" s="59" t="n">
        <v>235453877</v>
      </c>
      <c r="D18" s="89" t="n">
        <v>0.0187</v>
      </c>
    </row>
    <row r="19" ht="15" customHeight="1" s="46">
      <c r="A19" s="88" t="n">
        <v>15</v>
      </c>
      <c r="B19" s="58" t="inlineStr">
        <is>
          <t>ZPT Holdings Limited</t>
        </is>
      </c>
      <c r="C19" s="59" t="n">
        <v>217186944</v>
      </c>
      <c r="D19" s="89" t="n">
        <v>0.0172</v>
      </c>
    </row>
    <row r="20" ht="15" customHeight="1" s="46">
      <c r="A20" s="88" t="n">
        <v>16</v>
      </c>
      <c r="B20" s="58" t="inlineStr">
        <is>
          <t>Oliver &amp; Lish Jung</t>
        </is>
      </c>
      <c r="C20" s="59" t="n">
        <v>217160565</v>
      </c>
      <c r="D20" s="89" t="n">
        <v>0.0172</v>
      </c>
    </row>
    <row r="21" ht="15" customHeight="1" s="46">
      <c r="A21" s="88" t="n">
        <v>17</v>
      </c>
      <c r="B21" s="58" t="inlineStr">
        <is>
          <t>Rocket Internet Capital Partners II SCS</t>
        </is>
      </c>
      <c r="C21" s="59" t="n">
        <v>201054515</v>
      </c>
      <c r="D21" s="89" t="n">
        <v>0.016</v>
      </c>
    </row>
    <row r="22" ht="15" customHeight="1" s="46">
      <c r="A22" s="88" t="n">
        <v>18</v>
      </c>
      <c r="B22" s="58" t="inlineStr">
        <is>
          <t>Razor Ventures Zepto LLC</t>
        </is>
      </c>
      <c r="C22" s="59" t="n">
        <v>143549916</v>
      </c>
      <c r="D22" s="89" t="n">
        <v>0.0114</v>
      </c>
    </row>
    <row r="23" ht="15" customHeight="1" s="46">
      <c r="A23" s="88" t="n">
        <v>19</v>
      </c>
      <c r="B23" s="58" t="inlineStr">
        <is>
          <t>Contrary ZEP Holdings LLC</t>
        </is>
      </c>
      <c r="C23" s="59" t="n">
        <v>142464684</v>
      </c>
      <c r="D23" s="89" t="n">
        <v>0.0113</v>
      </c>
    </row>
    <row r="24" ht="15" customHeight="1" s="46">
      <c r="A24" s="88" t="n">
        <v>20</v>
      </c>
      <c r="B24" s="58" t="inlineStr">
        <is>
          <t>AZO4 LLC</t>
        </is>
      </c>
      <c r="C24" s="59" t="n">
        <v>135551491</v>
      </c>
      <c r="D24" s="89" t="n">
        <v>0.0108</v>
      </c>
    </row>
    <row r="25" ht="15" customHeight="1" s="46">
      <c r="A25" s="88" t="n">
        <v>21</v>
      </c>
      <c r="B25" s="82" t="inlineStr">
        <is>
          <t>Aadit Palicha (Promoter)</t>
        </is>
      </c>
      <c r="C25" s="59" t="n">
        <v>134459146</v>
      </c>
      <c r="D25" s="89" t="n">
        <v>0.0107</v>
      </c>
    </row>
    <row r="26" ht="15" customHeight="1" s="46">
      <c r="A26" s="88" t="n">
        <v>22</v>
      </c>
      <c r="B26" s="58" t="inlineStr">
        <is>
          <t>Springblue Co-Investment SPV, LP</t>
        </is>
      </c>
      <c r="C26" s="59" t="n">
        <v>131434706</v>
      </c>
      <c r="D26" s="89" t="n">
        <v>0.0104</v>
      </c>
    </row>
    <row r="27" ht="15" customHeight="1" s="46">
      <c r="A27" s="88" t="n">
        <v>23</v>
      </c>
      <c r="B27" s="58" t="inlineStr">
        <is>
          <t>Y Combinator ES20, LLC</t>
        </is>
      </c>
      <c r="C27" s="59" t="n">
        <v>123678874</v>
      </c>
      <c r="D27" s="89" t="n">
        <v>0.0098</v>
      </c>
    </row>
    <row r="28" ht="15" customHeight="1" s="46">
      <c r="B28" s="60" t="inlineStr">
        <is>
          <t>Total (holders &gt;=1% group, per DRHP)</t>
        </is>
      </c>
      <c r="C28" s="61" t="n">
        <v>10139299551</v>
      </c>
      <c r="D28" s="90" t="n">
        <v>0.8045</v>
      </c>
    </row>
    <row r="30" ht="15" customHeight="1" s="46">
      <c r="B30" s="57" t="inlineStr">
        <is>
          <t>Aggregate Promoter &amp; Promoter Group holding</t>
        </is>
      </c>
    </row>
    <row r="31" ht="15" customHeight="1" s="46">
      <c r="A31" s="87" t="n"/>
      <c r="B31" s="87" t="inlineStr">
        <is>
          <t>Holder</t>
        </is>
      </c>
      <c r="C31" s="87" t="inlineStr">
        <is>
          <t>Equity shares</t>
        </is>
      </c>
      <c r="D31" s="87" t="inlineStr">
        <is>
          <t>% pre-Offer</t>
        </is>
      </c>
    </row>
    <row r="32" ht="15" customHeight="1" s="46">
      <c r="B32" s="58" t="inlineStr">
        <is>
          <t>Aadit Palicha</t>
        </is>
      </c>
      <c r="C32" s="59" t="n">
        <v>134459146</v>
      </c>
      <c r="D32" s="89" t="n">
        <v>0.0107</v>
      </c>
    </row>
    <row r="33" ht="15" customHeight="1" s="46">
      <c r="B33" s="58" t="inlineStr">
        <is>
          <t>Kaivalya Vohra</t>
        </is>
      </c>
      <c r="C33" s="59" t="n">
        <v>112049289</v>
      </c>
      <c r="D33" s="89" t="n">
        <v>0.0089</v>
      </c>
    </row>
    <row r="34" ht="15" customHeight="1" s="46">
      <c r="B34" s="58" t="inlineStr">
        <is>
          <t>Lazarus Trust</t>
        </is>
      </c>
      <c r="C34" s="59" t="n">
        <v>1138384797</v>
      </c>
      <c r="D34" s="89" t="n">
        <v>0.09030000000000001</v>
      </c>
    </row>
    <row r="35" ht="15" customHeight="1" s="46">
      <c r="B35" s="58" t="inlineStr">
        <is>
          <t>The Vohra Trust</t>
        </is>
      </c>
      <c r="C35" s="59" t="n">
        <v>943054929</v>
      </c>
      <c r="D35" s="89" t="n">
        <v>0.07480000000000001</v>
      </c>
    </row>
    <row r="36" ht="15" customHeight="1" s="46">
      <c r="B36" s="60" t="inlineStr">
        <is>
          <t>Total Promoters</t>
        </is>
      </c>
      <c r="C36" s="61" t="n">
        <v>2327948161</v>
      </c>
      <c r="D36" s="90" t="n">
        <v>0.1847</v>
      </c>
    </row>
    <row r="37" ht="15" customHeight="1" s="46">
      <c r="B37" s="58" t="inlineStr">
        <is>
          <t>Urvashi Kavit Palicha (Prom. Grp)</t>
        </is>
      </c>
      <c r="C37" s="59" t="n">
        <v>71747524</v>
      </c>
      <c r="D37" s="89" t="n">
        <v>0.0057</v>
      </c>
    </row>
    <row r="38" ht="15" customHeight="1" s="46">
      <c r="B38" s="58" t="inlineStr">
        <is>
          <t>Seema Vohra (Prom. Grp)</t>
        </is>
      </c>
      <c r="C38" s="59" t="n">
        <v>65388672</v>
      </c>
      <c r="D38" s="89" t="n">
        <v>0.0052</v>
      </c>
    </row>
    <row r="39" ht="15" customHeight="1" s="46">
      <c r="B39" s="60" t="inlineStr">
        <is>
          <t>Total Promoter + Promoter Group</t>
        </is>
      </c>
      <c r="C39" s="61" t="n">
        <v>2465084357</v>
      </c>
      <c r="D39" s="90" t="n">
        <v>0.1956</v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selection activeCell="A1" sqref="A1"/>
    </sheetView>
  </sheetViews>
  <sheetFormatPr baseColWidth="8" defaultRowHeight="15"/>
  <cols>
    <col width="34" customWidth="1" style="46" min="1" max="1"/>
    <col width="10" customWidth="1" style="46" min="2" max="2"/>
    <col width="10" customWidth="1" style="46" min="3" max="3"/>
    <col width="10" customWidth="1" style="46" min="4" max="4"/>
    <col width="10" customWidth="1" style="46" min="5" max="5"/>
    <col width="10" customWidth="1" style="46" min="6" max="6"/>
    <col width="10" customWidth="1" style="46" min="7" max="7"/>
    <col width="10" customWidth="1" style="46" min="8" max="8"/>
    <col width="10" customWidth="1" style="46" min="9" max="9"/>
    <col width="10" customWidth="1" style="46" min="10" max="10"/>
    <col width="10" customWidth="1" style="46" min="11" max="11"/>
    <col width="10" customWidth="1" style="46" min="12" max="12"/>
    <col width="10" customWidth="1" style="46" min="13" max="13"/>
  </cols>
  <sheetData>
    <row r="1">
      <c r="A1" s="91" t="inlineStr">
        <is>
          <t>Revenue from Operations — Disaggregated, Quarterly</t>
        </is>
      </c>
    </row>
    <row r="2">
      <c r="A2" s="92" t="inlineStr">
        <is>
          <t>Rs in million | Note 18.1(a), Restated Consolidated Quarterly Financial Information | most-recent quarter first</t>
        </is>
      </c>
    </row>
    <row r="4">
      <c r="A4" s="93" t="inlineStr">
        <is>
          <t>Particulars (Rs mn)</t>
        </is>
      </c>
      <c r="B4" s="94" t="inlineStr">
        <is>
          <t>Q4FY26</t>
        </is>
      </c>
      <c r="C4" s="94" t="inlineStr">
        <is>
          <t>Q3FY26</t>
        </is>
      </c>
      <c r="D4" s="94" t="inlineStr">
        <is>
          <t>Q2FY26</t>
        </is>
      </c>
      <c r="E4" s="94" t="inlineStr">
        <is>
          <t>Q1FY26</t>
        </is>
      </c>
      <c r="F4" s="94" t="inlineStr">
        <is>
          <t>Q4FY25</t>
        </is>
      </c>
      <c r="G4" s="94" t="inlineStr">
        <is>
          <t>Q3FY25</t>
        </is>
      </c>
      <c r="H4" s="94" t="inlineStr">
        <is>
          <t>Q2FY25</t>
        </is>
      </c>
      <c r="I4" s="94" t="inlineStr">
        <is>
          <t>Q1FY25</t>
        </is>
      </c>
      <c r="J4" s="94" t="inlineStr">
        <is>
          <t>Q4FY24</t>
        </is>
      </c>
      <c r="K4" s="94" t="inlineStr">
        <is>
          <t>Q3FY24</t>
        </is>
      </c>
      <c r="L4" s="94" t="inlineStr">
        <is>
          <t>Q2FY24</t>
        </is>
      </c>
      <c r="M4" s="94" t="inlineStr">
        <is>
          <t>Q1FY24</t>
        </is>
      </c>
    </row>
    <row r="5">
      <c r="A5" s="95" t="inlineStr">
        <is>
          <t>Sale of goods</t>
        </is>
      </c>
    </row>
    <row r="6">
      <c r="A6" s="96" t="inlineStr">
        <is>
          <t>Sale of traded goods</t>
        </is>
      </c>
      <c r="B6" s="97" t="n">
        <v>58193.42</v>
      </c>
      <c r="C6" s="97" t="n">
        <v>45385.88</v>
      </c>
      <c r="D6" s="97" t="n">
        <v>36634.47</v>
      </c>
      <c r="E6" s="97" t="n">
        <v>35665.46</v>
      </c>
      <c r="F6" s="97" t="n">
        <v>34130.34</v>
      </c>
      <c r="G6" s="97" t="n">
        <v>25941.52</v>
      </c>
      <c r="H6" s="97" t="n">
        <v>17580.39</v>
      </c>
      <c r="I6" s="97" t="n">
        <v>13795.47</v>
      </c>
      <c r="J6" s="97" t="n">
        <v>11876.98</v>
      </c>
      <c r="K6" s="97" t="n">
        <v>10161.39</v>
      </c>
      <c r="L6" s="97" t="n">
        <v>9310.32</v>
      </c>
      <c r="M6" s="97" t="n">
        <v>7703.2</v>
      </c>
    </row>
    <row r="7">
      <c r="A7" s="95" t="inlineStr">
        <is>
          <t>Sale of services</t>
        </is>
      </c>
    </row>
    <row r="8">
      <c r="A8" s="96" t="inlineStr">
        <is>
          <t>Warehousing, packaging &amp; last-mile charges</t>
        </is>
      </c>
      <c r="B8" s="97" t="n">
        <v>9450.01</v>
      </c>
      <c r="C8" s="97" t="n">
        <v>7170.19</v>
      </c>
      <c r="D8" s="97" t="n">
        <v>5752.3</v>
      </c>
      <c r="E8" s="97" t="n">
        <v>5425.9</v>
      </c>
      <c r="F8" s="97" t="n">
        <v>4641.07</v>
      </c>
      <c r="G8" s="97" t="n">
        <v>3374.94</v>
      </c>
      <c r="H8" s="97" t="n">
        <v>2102.78</v>
      </c>
      <c r="I8" s="97" t="n">
        <v>1937.05</v>
      </c>
      <c r="J8" s="97" t="n">
        <v>1708.18</v>
      </c>
      <c r="K8" s="97" t="n">
        <v>1278.5</v>
      </c>
      <c r="L8" s="97" t="n">
        <v>1040.24</v>
      </c>
      <c r="M8" s="97" t="n">
        <v>957.49</v>
      </c>
    </row>
    <row r="9">
      <c r="A9" s="96" t="inlineStr">
        <is>
          <t>Platform services</t>
        </is>
      </c>
      <c r="B9" s="97" t="n">
        <v>1821.6</v>
      </c>
      <c r="C9" s="97" t="n">
        <v>1435.81</v>
      </c>
      <c r="D9" s="97" t="n">
        <v>1203.59</v>
      </c>
      <c r="E9" s="97" t="n">
        <v>1180.73</v>
      </c>
      <c r="F9" s="97" t="n">
        <v>927.8200000000001</v>
      </c>
      <c r="G9" s="97" t="n">
        <v>0</v>
      </c>
      <c r="H9" s="97" t="n">
        <v>0</v>
      </c>
      <c r="I9" s="97" t="n">
        <v>0</v>
      </c>
      <c r="J9" s="97" t="n">
        <v>0</v>
      </c>
      <c r="K9" s="97" t="n">
        <v>0</v>
      </c>
      <c r="L9" s="97" t="n">
        <v>0</v>
      </c>
      <c r="M9" s="97" t="n">
        <v>0</v>
      </c>
    </row>
    <row r="10">
      <c r="A10" s="96" t="inlineStr">
        <is>
          <t>Subscription fee</t>
        </is>
      </c>
      <c r="B10" s="97" t="n">
        <v>0.01</v>
      </c>
      <c r="C10" s="97" t="n">
        <v>16.69</v>
      </c>
      <c r="D10" s="97" t="n">
        <v>109.84</v>
      </c>
      <c r="E10" s="97" t="n">
        <v>156.6</v>
      </c>
      <c r="F10" s="97" t="n">
        <v>70.06999999999999</v>
      </c>
      <c r="G10" s="97" t="n">
        <v>0</v>
      </c>
      <c r="H10" s="97" t="n">
        <v>0</v>
      </c>
      <c r="I10" s="97" t="n">
        <v>0</v>
      </c>
      <c r="J10" s="97" t="n">
        <v>0</v>
      </c>
      <c r="K10" s="97" t="n">
        <v>0</v>
      </c>
      <c r="L10" s="97" t="n">
        <v>0</v>
      </c>
      <c r="M10" s="97" t="n">
        <v>0</v>
      </c>
    </row>
    <row r="11">
      <c r="A11" s="96" t="inlineStr">
        <is>
          <t>Advertisement revenue</t>
        </is>
      </c>
      <c r="B11" s="97" t="n">
        <v>5429.68</v>
      </c>
      <c r="C11" s="97" t="n">
        <v>4104.39</v>
      </c>
      <c r="D11" s="97" t="n">
        <v>3089.96</v>
      </c>
      <c r="E11" s="97" t="n">
        <v>3733.23</v>
      </c>
      <c r="F11" s="97" t="n">
        <v>2969.38</v>
      </c>
      <c r="G11" s="97" t="n">
        <v>1924.07</v>
      </c>
      <c r="H11" s="97" t="n">
        <v>862.74</v>
      </c>
      <c r="I11" s="97" t="n">
        <v>756.22</v>
      </c>
      <c r="J11" s="97" t="n">
        <v>482.79</v>
      </c>
      <c r="K11" s="97" t="n">
        <v>8.93</v>
      </c>
      <c r="L11" s="97" t="n">
        <v>0</v>
      </c>
      <c r="M11" s="97" t="n">
        <v>0</v>
      </c>
    </row>
    <row r="12">
      <c r="A12" s="96" t="inlineStr">
        <is>
          <t>License (IP) charges</t>
        </is>
      </c>
      <c r="B12" s="97" t="n">
        <v>0</v>
      </c>
      <c r="C12" s="97" t="n">
        <v>0</v>
      </c>
      <c r="D12" s="97" t="n">
        <v>0</v>
      </c>
      <c r="E12" s="97" t="n">
        <v>0</v>
      </c>
      <c r="F12" s="97" t="n">
        <v>13.39</v>
      </c>
      <c r="G12" s="97" t="n">
        <v>0</v>
      </c>
      <c r="H12" s="97" t="n">
        <v>0</v>
      </c>
      <c r="I12" s="97" t="n">
        <v>0</v>
      </c>
      <c r="J12" s="97" t="n">
        <v>0</v>
      </c>
      <c r="K12" s="97" t="n">
        <v>0</v>
      </c>
      <c r="L12" s="97" t="n">
        <v>0</v>
      </c>
      <c r="M12" s="97" t="n">
        <v>0</v>
      </c>
    </row>
    <row r="13">
      <c r="A13" s="96" t="inlineStr">
        <is>
          <t>Franchisee fees</t>
        </is>
      </c>
      <c r="B13" s="97" t="n">
        <v>39.65</v>
      </c>
      <c r="C13" s="97" t="n">
        <v>36.42</v>
      </c>
      <c r="D13" s="97" t="n">
        <v>35.39</v>
      </c>
      <c r="E13" s="97" t="n">
        <v>33.18</v>
      </c>
      <c r="F13" s="97" t="n">
        <v>11.65</v>
      </c>
      <c r="G13" s="97" t="n">
        <v>10.6</v>
      </c>
      <c r="H13" s="97" t="n">
        <v>1.3</v>
      </c>
      <c r="I13" s="97" t="n">
        <v>0</v>
      </c>
      <c r="J13" s="97" t="n">
        <v>0</v>
      </c>
      <c r="K13" s="97" t="n">
        <v>0</v>
      </c>
      <c r="L13" s="97" t="n">
        <v>0</v>
      </c>
      <c r="M13" s="97" t="n">
        <v>0</v>
      </c>
    </row>
    <row r="14">
      <c r="A14" s="95" t="inlineStr">
        <is>
          <t>Other operating revenue</t>
        </is>
      </c>
    </row>
    <row r="15">
      <c r="A15" s="96" t="inlineStr">
        <is>
          <t>Scrap sales</t>
        </is>
      </c>
      <c r="B15" s="97" t="n">
        <v>42.09</v>
      </c>
      <c r="C15" s="97" t="n">
        <v>33.58</v>
      </c>
      <c r="D15" s="97" t="n">
        <v>28.13</v>
      </c>
      <c r="E15" s="97" t="n">
        <v>25.77</v>
      </c>
      <c r="F15" s="97" t="n">
        <v>12.76</v>
      </c>
      <c r="G15" s="97" t="n">
        <v>15.69</v>
      </c>
      <c r="H15" s="97" t="n">
        <v>9.640000000000001</v>
      </c>
      <c r="I15" s="97" t="n">
        <v>6.44</v>
      </c>
      <c r="J15" s="97" t="n">
        <v>5.12</v>
      </c>
      <c r="K15" s="97" t="n">
        <v>4.48</v>
      </c>
      <c r="L15" s="97" t="n">
        <v>4.29</v>
      </c>
      <c r="M15" s="97" t="n">
        <v>3.25</v>
      </c>
    </row>
    <row r="16">
      <c r="A16" s="96" t="inlineStr">
        <is>
          <t>Others</t>
        </is>
      </c>
      <c r="B16" s="97" t="n">
        <v>0</v>
      </c>
      <c r="C16" s="97" t="n">
        <v>0</v>
      </c>
      <c r="D16" s="97" t="n">
        <v>0.04</v>
      </c>
      <c r="E16" s="97" t="n">
        <v>1.83</v>
      </c>
      <c r="F16" s="97" t="n">
        <v>4.14</v>
      </c>
      <c r="G16" s="97" t="n">
        <v>0</v>
      </c>
      <c r="H16" s="97" t="n">
        <v>0</v>
      </c>
      <c r="I16" s="97" t="n">
        <v>0</v>
      </c>
      <c r="J16" s="97" t="n">
        <v>0</v>
      </c>
      <c r="K16" s="97" t="n">
        <v>0</v>
      </c>
      <c r="L16" s="97" t="n">
        <v>0</v>
      </c>
      <c r="M16" s="97" t="n">
        <v>0</v>
      </c>
    </row>
    <row r="17">
      <c r="A17" s="98" t="inlineStr">
        <is>
          <t>Total revenue from operations</t>
        </is>
      </c>
      <c r="B17" s="99" t="n">
        <v>74976.46000000001</v>
      </c>
      <c r="C17" s="99" t="n">
        <v>58182.96</v>
      </c>
      <c r="D17" s="99" t="n">
        <v>46853.72</v>
      </c>
      <c r="E17" s="99" t="n">
        <v>46222.7</v>
      </c>
      <c r="F17" s="99" t="n">
        <v>42780.62</v>
      </c>
      <c r="G17" s="99" t="n">
        <v>31266.82</v>
      </c>
      <c r="H17" s="99" t="n">
        <v>20556.85</v>
      </c>
      <c r="I17" s="99" t="n">
        <v>16495.18</v>
      </c>
      <c r="J17" s="99" t="n">
        <v>14073.07</v>
      </c>
      <c r="K17" s="99" t="n">
        <v>11453.3</v>
      </c>
      <c r="L17" s="99" t="n">
        <v>10354.85</v>
      </c>
      <c r="M17" s="99" t="n">
        <v>8663.940000000001</v>
      </c>
    </row>
    <row r="19">
      <c r="A19" s="92" t="inlineStr">
        <is>
          <t>Note: Subscription fee (Zepto Pass) appears from Q4FY25, peaks Q1FY26 (156.60) and falls to ~0 by Q4FY26 — paid subscription effectively wound down.</t>
        </is>
      </c>
    </row>
  </sheetData>
  <mergeCells count="6">
    <mergeCell ref="A19:M19"/>
    <mergeCell ref="A14:M14"/>
    <mergeCell ref="A1:M1"/>
    <mergeCell ref="A5:M5"/>
    <mergeCell ref="A7:M7"/>
    <mergeCell ref="A2:M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5"/>
  <sheetViews>
    <sheetView showGridLines="0" workbookViewId="0">
      <selection activeCell="A1" sqref="A1"/>
    </sheetView>
  </sheetViews>
  <sheetFormatPr baseColWidth="8" defaultRowHeight="15"/>
  <cols>
    <col width="52" customWidth="1" style="46" min="1" max="1"/>
    <col width="15" customWidth="1" style="46" min="2" max="2"/>
    <col width="15" customWidth="1" style="46" min="3" max="3"/>
    <col width="15" customWidth="1" style="46" min="4" max="4"/>
  </cols>
  <sheetData>
    <row r="1">
      <c r="A1" s="91" t="inlineStr">
        <is>
          <t>Cost / Expense Breakdown — Annual</t>
        </is>
      </c>
    </row>
    <row r="2">
      <c r="A2" s="92" t="inlineStr">
        <is>
          <t>Rs in million | Notes 20-26, Restated Consolidated Financial Information</t>
        </is>
      </c>
    </row>
    <row r="4">
      <c r="A4" s="100" t="inlineStr">
        <is>
          <t>Particulars (Rs mn)</t>
        </is>
      </c>
      <c r="B4" s="101" t="inlineStr">
        <is>
          <t>FY2026</t>
        </is>
      </c>
      <c r="C4" s="101" t="inlineStr">
        <is>
          <t>FY2025</t>
        </is>
      </c>
      <c r="D4" s="101" t="inlineStr">
        <is>
          <t>FY2024</t>
        </is>
      </c>
    </row>
    <row r="5">
      <c r="A5" s="95" t="inlineStr">
        <is>
          <t>Total expenses (P&amp;L lines)</t>
        </is>
      </c>
    </row>
    <row r="6">
      <c r="A6" s="102" t="inlineStr">
        <is>
          <t>Purchase of traded goods</t>
        </is>
      </c>
      <c r="B6" s="103" t="n">
        <v>184849.75</v>
      </c>
      <c r="C6" s="103" t="n">
        <v>100260.18</v>
      </c>
      <c r="D6" s="103" t="n">
        <v>34626.73</v>
      </c>
    </row>
    <row r="7">
      <c r="A7" s="102" t="inlineStr">
        <is>
          <t>Change in inventories of traded goods</t>
        </is>
      </c>
      <c r="B7" s="103" t="n">
        <v>-2866.07</v>
      </c>
      <c r="C7" s="103" t="n">
        <v>-4838.95</v>
      </c>
      <c r="D7" s="103" t="n">
        <v>311.86</v>
      </c>
    </row>
    <row r="8">
      <c r="A8" s="102" t="inlineStr">
        <is>
          <t>Delivery and handling expense</t>
        </is>
      </c>
      <c r="B8" s="103" t="n">
        <v>30463.41</v>
      </c>
      <c r="C8" s="103" t="n">
        <v>15989.35</v>
      </c>
      <c r="D8" s="103" t="n">
        <v>5808.72</v>
      </c>
    </row>
    <row r="9">
      <c r="A9" s="102" t="inlineStr">
        <is>
          <t>Employee benefits expense</t>
        </is>
      </c>
      <c r="B9" s="103" t="n">
        <v>17846.67</v>
      </c>
      <c r="C9" s="103" t="n">
        <v>12406.43</v>
      </c>
      <c r="D9" s="103" t="n">
        <v>4261.94</v>
      </c>
    </row>
    <row r="10">
      <c r="A10" s="102" t="inlineStr">
        <is>
          <t>Finance costs</t>
        </is>
      </c>
      <c r="B10" s="103" t="n">
        <v>2647.91</v>
      </c>
      <c r="C10" s="103" t="n">
        <v>1377.08</v>
      </c>
      <c r="D10" s="103" t="n">
        <v>568.9400000000001</v>
      </c>
    </row>
    <row r="11">
      <c r="A11" s="102" t="inlineStr">
        <is>
          <t>Depreciation and amortisation expense</t>
        </is>
      </c>
      <c r="B11" s="103" t="n">
        <v>8942.559999999999</v>
      </c>
      <c r="C11" s="103" t="n">
        <v>4040.75</v>
      </c>
      <c r="D11" s="103" t="n">
        <v>1209.8</v>
      </c>
    </row>
    <row r="12">
      <c r="A12" s="102" t="inlineStr">
        <is>
          <t>Other expenses</t>
        </is>
      </c>
      <c r="B12" s="103" t="n">
        <v>48383.23</v>
      </c>
      <c r="C12" s="103" t="n">
        <v>33175.85</v>
      </c>
      <c r="D12" s="103" t="n">
        <v>10724.15</v>
      </c>
    </row>
    <row r="13">
      <c r="A13" s="98" t="inlineStr">
        <is>
          <t>Total expenses</t>
        </is>
      </c>
      <c r="B13" s="99" t="n">
        <v>290267.46</v>
      </c>
      <c r="C13" s="99" t="n">
        <v>162410.69</v>
      </c>
      <c r="D13" s="99" t="n">
        <v>57512.14</v>
      </c>
    </row>
    <row r="14">
      <c r="A14" s="95" t="inlineStr">
        <is>
          <t>Note 23 — Employee benefits expense</t>
        </is>
      </c>
    </row>
    <row r="15">
      <c r="A15" s="102" t="inlineStr">
        <is>
          <t>Salaries, wages and bonus</t>
        </is>
      </c>
      <c r="B15" s="103" t="n">
        <v>11269.73</v>
      </c>
      <c r="C15" s="103" t="n">
        <v>8274.059999999999</v>
      </c>
      <c r="D15" s="103" t="n">
        <v>3231.23</v>
      </c>
    </row>
    <row r="16">
      <c r="A16" s="102" t="inlineStr">
        <is>
          <t>Contribution to provident &amp; other funds</t>
        </is>
      </c>
      <c r="B16" s="103" t="n">
        <v>336.78</v>
      </c>
      <c r="C16" s="103" t="n">
        <v>147.39</v>
      </c>
      <c r="D16" s="103" t="n">
        <v>81.13</v>
      </c>
    </row>
    <row r="17">
      <c r="A17" s="102" t="inlineStr">
        <is>
          <t>Gratuity expense</t>
        </is>
      </c>
      <c r="B17" s="103" t="n">
        <v>168.45</v>
      </c>
      <c r="C17" s="103" t="n">
        <v>101.65</v>
      </c>
      <c r="D17" s="103" t="n">
        <v>45.35</v>
      </c>
    </row>
    <row r="18">
      <c r="A18" s="102" t="inlineStr">
        <is>
          <t>Share based payment expense</t>
        </is>
      </c>
      <c r="B18" s="103" t="n">
        <v>5569.42</v>
      </c>
      <c r="C18" s="103" t="n">
        <v>3234.46</v>
      </c>
      <c r="D18" s="103" t="n">
        <v>737.55</v>
      </c>
    </row>
    <row r="19">
      <c r="A19" s="102" t="inlineStr">
        <is>
          <t>Staff welfare expenses</t>
        </is>
      </c>
      <c r="B19" s="103" t="n">
        <v>502.29</v>
      </c>
      <c r="C19" s="103" t="n">
        <v>648.87</v>
      </c>
      <c r="D19" s="103" t="n">
        <v>166.68</v>
      </c>
    </row>
    <row r="20">
      <c r="A20" s="98" t="inlineStr">
        <is>
          <t>Total employee benefits</t>
        </is>
      </c>
      <c r="B20" s="99" t="n">
        <v>17846.67</v>
      </c>
      <c r="C20" s="99" t="n">
        <v>12406.43</v>
      </c>
      <c r="D20" s="99" t="n">
        <v>4261.94</v>
      </c>
    </row>
    <row r="21">
      <c r="A21" s="95" t="inlineStr">
        <is>
          <t>Note 24 — Finance costs</t>
        </is>
      </c>
    </row>
    <row r="22">
      <c r="A22" s="102" t="inlineStr">
        <is>
          <t>Interest on borrowings</t>
        </is>
      </c>
      <c r="B22" s="103" t="n">
        <v>0.64</v>
      </c>
      <c r="C22" s="103" t="n">
        <v>92.14</v>
      </c>
      <c r="D22" s="103" t="n">
        <v>175.69</v>
      </c>
    </row>
    <row r="23">
      <c r="A23" s="102" t="inlineStr">
        <is>
          <t>Interest on lease liabilities</t>
        </is>
      </c>
      <c r="B23" s="103" t="n">
        <v>2591.02</v>
      </c>
      <c r="C23" s="103" t="n">
        <v>1272.18</v>
      </c>
      <c r="D23" s="103" t="n">
        <v>366.71</v>
      </c>
    </row>
    <row r="24">
      <c r="A24" s="102" t="inlineStr">
        <is>
          <t>Bank and finance charges</t>
        </is>
      </c>
      <c r="B24" s="103" t="n">
        <v>31.11</v>
      </c>
      <c r="C24" s="103" t="n">
        <v>3.63</v>
      </c>
      <c r="D24" s="103" t="n">
        <v>23.77</v>
      </c>
    </row>
    <row r="25">
      <c r="A25" s="102" t="inlineStr">
        <is>
          <t>Interest on defined benefit obligations</t>
        </is>
      </c>
      <c r="B25" s="103" t="n">
        <v>25.14</v>
      </c>
      <c r="C25" s="103" t="n">
        <v>9.130000000000001</v>
      </c>
      <c r="D25" s="103" t="n">
        <v>2.77</v>
      </c>
    </row>
    <row r="26">
      <c r="A26" s="98" t="inlineStr">
        <is>
          <t>Total finance costs</t>
        </is>
      </c>
      <c r="B26" s="99" t="n">
        <v>2647.91</v>
      </c>
      <c r="C26" s="99" t="n">
        <v>1377.08</v>
      </c>
      <c r="D26" s="99" t="n">
        <v>568.9400000000001</v>
      </c>
    </row>
    <row r="27">
      <c r="A27" s="95" t="inlineStr">
        <is>
          <t>Note 25 — Depreciation &amp; amortisation</t>
        </is>
      </c>
    </row>
    <row r="28">
      <c r="A28" s="102" t="inlineStr">
        <is>
          <t>Depreciation of property, plant &amp; equipment</t>
        </is>
      </c>
      <c r="B28" s="103" t="n">
        <v>2918.23</v>
      </c>
      <c r="C28" s="103" t="n">
        <v>1305.66</v>
      </c>
      <c r="D28" s="103" t="n">
        <v>487.22</v>
      </c>
    </row>
    <row r="29">
      <c r="A29" s="102" t="inlineStr">
        <is>
          <t>Amortisation of intangible assets</t>
        </is>
      </c>
      <c r="B29" s="103" t="n">
        <v>316.18</v>
      </c>
      <c r="C29" s="103" t="n">
        <v>14.66</v>
      </c>
      <c r="D29" s="103" t="n">
        <v>11.9</v>
      </c>
    </row>
    <row r="30">
      <c r="A30" s="102" t="inlineStr">
        <is>
          <t>Depreciation of right-of-use (ROU) assets</t>
        </is>
      </c>
      <c r="B30" s="103" t="n">
        <v>5708.15</v>
      </c>
      <c r="C30" s="103" t="n">
        <v>2720.43</v>
      </c>
      <c r="D30" s="103" t="n">
        <v>710.6799999999999</v>
      </c>
    </row>
    <row r="31">
      <c r="A31" s="98" t="inlineStr">
        <is>
          <t>Total D&amp;A</t>
        </is>
      </c>
      <c r="B31" s="99" t="n">
        <v>8942.559999999999</v>
      </c>
      <c r="C31" s="99" t="n">
        <v>4040.75</v>
      </c>
      <c r="D31" s="99" t="n">
        <v>1209.8</v>
      </c>
    </row>
    <row r="32">
      <c r="A32" s="95" t="inlineStr">
        <is>
          <t>Note 26 — Other expenses</t>
        </is>
      </c>
    </row>
    <row r="33">
      <c r="A33" s="102" t="inlineStr">
        <is>
          <t>Warehousing expenses</t>
        </is>
      </c>
      <c r="B33" s="103" t="n">
        <v>21498.49</v>
      </c>
      <c r="C33" s="103" t="n">
        <v>13818.09</v>
      </c>
      <c r="D33" s="103" t="n">
        <v>4954.86</v>
      </c>
    </row>
    <row r="34">
      <c r="A34" s="102" t="inlineStr">
        <is>
          <t>Advertisement expenses</t>
        </is>
      </c>
      <c r="B34" s="103" t="n">
        <v>13891.17</v>
      </c>
      <c r="C34" s="103" t="n">
        <v>11866.61</v>
      </c>
      <c r="D34" s="103" t="n">
        <v>3035.49</v>
      </c>
    </row>
    <row r="35">
      <c r="A35" s="102" t="inlineStr">
        <is>
          <t>Software expenses</t>
        </is>
      </c>
      <c r="B35" s="103" t="n">
        <v>3001.18</v>
      </c>
      <c r="C35" s="103" t="n">
        <v>2290.47</v>
      </c>
      <c r="D35" s="103" t="n">
        <v>1146.3</v>
      </c>
    </row>
    <row r="36">
      <c r="A36" s="102" t="inlineStr">
        <is>
          <t>Power and fuel</t>
        </is>
      </c>
      <c r="B36" s="103" t="n">
        <v>1613.69</v>
      </c>
      <c r="C36" s="103" t="n">
        <v>1135.89</v>
      </c>
      <c r="D36" s="103" t="n">
        <v>337.85</v>
      </c>
    </row>
    <row r="37">
      <c r="A37" s="102" t="inlineStr">
        <is>
          <t>Store and franchisee expenses</t>
        </is>
      </c>
      <c r="B37" s="103" t="n">
        <v>2941.32</v>
      </c>
      <c r="C37" s="103" t="n">
        <v>1032.88</v>
      </c>
      <c r="D37" s="103" t="n">
        <v>417.21</v>
      </c>
    </row>
    <row r="38">
      <c r="A38" s="102" t="inlineStr">
        <is>
          <t>Legal and professional fees</t>
        </is>
      </c>
      <c r="B38" s="103" t="n">
        <v>709.8</v>
      </c>
      <c r="C38" s="103" t="n">
        <v>885.47</v>
      </c>
      <c r="D38" s="103" t="n">
        <v>372.59</v>
      </c>
    </row>
    <row r="39">
      <c r="A39" s="102" t="inlineStr">
        <is>
          <t>Rent</t>
        </is>
      </c>
      <c r="B39" s="103" t="n">
        <v>87.04000000000001</v>
      </c>
      <c r="C39" s="103" t="n">
        <v>450.96</v>
      </c>
      <c r="D39" s="103" t="n">
        <v>139.37</v>
      </c>
    </row>
    <row r="40">
      <c r="A40" s="102" t="inlineStr">
        <is>
          <t>Repairs &amp; maintenance - Plant &amp; machinery</t>
        </is>
      </c>
      <c r="B40" s="103" t="n">
        <v>329.73</v>
      </c>
      <c r="C40" s="103" t="n">
        <v>225.65</v>
      </c>
      <c r="D40" s="103" t="n">
        <v>68.66</v>
      </c>
    </row>
    <row r="41">
      <c r="A41" s="102" t="inlineStr">
        <is>
          <t>Repairs &amp; maintenance - Others</t>
        </is>
      </c>
      <c r="B41" s="103" t="n">
        <v>171</v>
      </c>
      <c r="C41" s="103" t="n">
        <v>80.98999999999999</v>
      </c>
      <c r="D41" s="103" t="n">
        <v>20.61</v>
      </c>
    </row>
    <row r="42">
      <c r="A42" s="102" t="inlineStr">
        <is>
          <t>Payment gateway charges</t>
        </is>
      </c>
      <c r="B42" s="103" t="n">
        <v>770.88</v>
      </c>
      <c r="C42" s="103" t="n">
        <v>166.17</v>
      </c>
      <c r="D42" s="103" t="n">
        <v>0</v>
      </c>
    </row>
    <row r="43">
      <c r="A43" s="102" t="inlineStr">
        <is>
          <t>Travelling and conveyance</t>
        </is>
      </c>
      <c r="B43" s="103" t="n">
        <v>136.29</v>
      </c>
      <c r="C43" s="103" t="n">
        <v>166.13</v>
      </c>
      <c r="D43" s="103" t="n">
        <v>56.8</v>
      </c>
    </row>
    <row r="44">
      <c r="A44" s="102" t="inlineStr">
        <is>
          <t>Rates and taxes</t>
        </is>
      </c>
      <c r="B44" s="103" t="n">
        <v>86.76000000000001</v>
      </c>
      <c r="C44" s="103" t="n">
        <v>203.46</v>
      </c>
      <c r="D44" s="103" t="n">
        <v>9.460000000000001</v>
      </c>
    </row>
    <row r="45">
      <c r="A45" s="102" t="inlineStr">
        <is>
          <t>Membership and subscription</t>
        </is>
      </c>
      <c r="B45" s="103" t="n">
        <v>20.35</v>
      </c>
      <c r="C45" s="103" t="n">
        <v>72.2</v>
      </c>
      <c r="D45" s="103" t="n">
        <v>1.96</v>
      </c>
    </row>
    <row r="46">
      <c r="A46" s="102" t="inlineStr">
        <is>
          <t>Insurance charges</t>
        </is>
      </c>
      <c r="B46" s="103" t="n">
        <v>170.96</v>
      </c>
      <c r="C46" s="103" t="n">
        <v>79.64</v>
      </c>
      <c r="D46" s="103" t="n">
        <v>13.28</v>
      </c>
    </row>
    <row r="47">
      <c r="A47" s="102" t="inlineStr">
        <is>
          <t>Sundry assets written off</t>
        </is>
      </c>
      <c r="B47" s="103" t="n">
        <v>332.77</v>
      </c>
      <c r="C47" s="103" t="n">
        <v>63.04</v>
      </c>
      <c r="D47" s="103" t="n">
        <v>0</v>
      </c>
    </row>
    <row r="48">
      <c r="A48" s="102" t="inlineStr">
        <is>
          <t>Foreign exchange loss (net)</t>
        </is>
      </c>
      <c r="B48" s="103" t="n">
        <v>7.16</v>
      </c>
      <c r="C48" s="103" t="n">
        <v>42.24</v>
      </c>
      <c r="D48" s="103" t="n">
        <v>0</v>
      </c>
    </row>
    <row r="49">
      <c r="A49" s="102" t="inlineStr">
        <is>
          <t>Payment to auditor</t>
        </is>
      </c>
      <c r="B49" s="103" t="n">
        <v>26.05</v>
      </c>
      <c r="C49" s="103" t="n">
        <v>24</v>
      </c>
      <c r="D49" s="103" t="n">
        <v>8.5</v>
      </c>
    </row>
    <row r="50">
      <c r="A50" s="102" t="inlineStr">
        <is>
          <t>Communication charges</t>
        </is>
      </c>
      <c r="B50" s="103" t="n">
        <v>779.1</v>
      </c>
      <c r="C50" s="103" t="n">
        <v>240.19</v>
      </c>
      <c r="D50" s="103" t="n">
        <v>19.09</v>
      </c>
    </row>
    <row r="51">
      <c r="A51" s="102" t="inlineStr">
        <is>
          <t>Provision for doubtful debts &amp; advances</t>
        </is>
      </c>
      <c r="B51" s="103" t="n">
        <v>82.47</v>
      </c>
      <c r="C51" s="103" t="n">
        <v>54.98</v>
      </c>
      <c r="D51" s="103" t="n">
        <v>26.44</v>
      </c>
    </row>
    <row r="52">
      <c r="A52" s="102" t="inlineStr">
        <is>
          <t>Fair value loss on financial instruments</t>
        </is>
      </c>
      <c r="B52" s="103" t="n">
        <v>1724.52</v>
      </c>
      <c r="C52" s="103" t="n">
        <v>273.3</v>
      </c>
      <c r="D52" s="103" t="n">
        <v>79.81999999999999</v>
      </c>
    </row>
    <row r="53">
      <c r="A53" s="102" t="inlineStr">
        <is>
          <t>Loss on sale of property, plant &amp; equipment</t>
        </is>
      </c>
      <c r="B53" s="103" t="n">
        <v>0</v>
      </c>
      <c r="C53" s="103" t="n">
        <v>0</v>
      </c>
      <c r="D53" s="103" t="n">
        <v>0.17</v>
      </c>
    </row>
    <row r="54">
      <c r="A54" s="102" t="inlineStr">
        <is>
          <t>Miscellaneous expenses</t>
        </is>
      </c>
      <c r="B54" s="103" t="n">
        <v>2.5</v>
      </c>
      <c r="C54" s="103" t="n">
        <v>3.49</v>
      </c>
      <c r="D54" s="103" t="n">
        <v>15.69</v>
      </c>
    </row>
    <row r="55">
      <c r="A55" s="98" t="inlineStr">
        <is>
          <t>Total other expenses</t>
        </is>
      </c>
      <c r="B55" s="99" t="n">
        <v>48383.23</v>
      </c>
      <c r="C55" s="99" t="n">
        <v>33175.85</v>
      </c>
      <c r="D55" s="99" t="n">
        <v>10724.15</v>
      </c>
    </row>
  </sheetData>
  <mergeCells count="7">
    <mergeCell ref="A1:D1"/>
    <mergeCell ref="A5:D5"/>
    <mergeCell ref="A27:D27"/>
    <mergeCell ref="A21:D21"/>
    <mergeCell ref="A2:D2"/>
    <mergeCell ref="A32:D32"/>
    <mergeCell ref="A14:D1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4"/>
  <sheetViews>
    <sheetView showGridLines="0" workbookViewId="0">
      <selection activeCell="A1" sqref="A1"/>
    </sheetView>
  </sheetViews>
  <sheetFormatPr baseColWidth="8" defaultRowHeight="15"/>
  <cols>
    <col width="36" customWidth="1" style="46" min="1" max="1"/>
    <col width="9.5" customWidth="1" style="46" min="2" max="2"/>
    <col width="9.5" customWidth="1" style="46" min="3" max="3"/>
    <col width="9.5" customWidth="1" style="46" min="4" max="4"/>
    <col width="9.5" customWidth="1" style="46" min="5" max="5"/>
    <col width="9.5" customWidth="1" style="46" min="6" max="6"/>
    <col width="9.5" customWidth="1" style="46" min="7" max="7"/>
    <col width="9.5" customWidth="1" style="46" min="8" max="8"/>
    <col width="9.5" customWidth="1" style="46" min="9" max="9"/>
    <col width="9.5" customWidth="1" style="46" min="10" max="10"/>
    <col width="9.5" customWidth="1" style="46" min="11" max="11"/>
    <col width="9.5" customWidth="1" style="46" min="12" max="12"/>
    <col width="9.5" customWidth="1" style="46" min="13" max="13"/>
  </cols>
  <sheetData>
    <row r="1">
      <c r="A1" s="91" t="inlineStr">
        <is>
          <t>Cost / Expense Breakdown — Quarterly</t>
        </is>
      </c>
    </row>
    <row r="2">
      <c r="A2" s="92" t="inlineStr">
        <is>
          <t>Rs in million | Notes 22-26, Restated Consolidated Quarterly Financial Information | most-recent quarter first</t>
        </is>
      </c>
    </row>
    <row r="4">
      <c r="A4" s="93" t="inlineStr">
        <is>
          <t>Particulars (Rs mn)</t>
        </is>
      </c>
      <c r="B4" s="94" t="inlineStr">
        <is>
          <t>Q4FY26</t>
        </is>
      </c>
      <c r="C4" s="94" t="inlineStr">
        <is>
          <t>Q3FY26</t>
        </is>
      </c>
      <c r="D4" s="94" t="inlineStr">
        <is>
          <t>Q2FY26</t>
        </is>
      </c>
      <c r="E4" s="94" t="inlineStr">
        <is>
          <t>Q1FY26</t>
        </is>
      </c>
      <c r="F4" s="94" t="inlineStr">
        <is>
          <t>Q4FY25</t>
        </is>
      </c>
      <c r="G4" s="94" t="inlineStr">
        <is>
          <t>Q3FY25</t>
        </is>
      </c>
      <c r="H4" s="94" t="inlineStr">
        <is>
          <t>Q2FY25</t>
        </is>
      </c>
      <c r="I4" s="94" t="inlineStr">
        <is>
          <t>Q1FY25</t>
        </is>
      </c>
      <c r="J4" s="94" t="inlineStr">
        <is>
          <t>Q4FY24</t>
        </is>
      </c>
      <c r="K4" s="94" t="inlineStr">
        <is>
          <t>Q3FY24</t>
        </is>
      </c>
      <c r="L4" s="94" t="inlineStr">
        <is>
          <t>Q2FY24</t>
        </is>
      </c>
      <c r="M4" s="94" t="inlineStr">
        <is>
          <t>Q1FY24</t>
        </is>
      </c>
    </row>
    <row r="5">
      <c r="A5" s="104" t="inlineStr">
        <is>
          <t>Top-level P&amp;L expense lines</t>
        </is>
      </c>
    </row>
    <row r="6">
      <c r="A6" s="96" t="inlineStr">
        <is>
          <t>Purchase of traded goods</t>
        </is>
      </c>
      <c r="B6" s="97" t="n">
        <v>62912.71</v>
      </c>
      <c r="C6" s="97" t="n">
        <v>48748.24</v>
      </c>
      <c r="D6" s="97" t="n">
        <v>38672.04</v>
      </c>
      <c r="E6" s="97" t="n">
        <v>34516.76</v>
      </c>
      <c r="F6" s="97" t="n">
        <v>39405.8</v>
      </c>
      <c r="G6" s="97" t="n">
        <v>28988.33</v>
      </c>
      <c r="H6" s="97" t="n">
        <v>18536.94</v>
      </c>
      <c r="I6" s="97" t="n">
        <v>13329.11</v>
      </c>
      <c r="J6" s="97" t="n">
        <v>10657.26</v>
      </c>
      <c r="K6" s="97" t="n">
        <v>9198.01</v>
      </c>
      <c r="L6" s="97" t="n">
        <v>7763.33</v>
      </c>
      <c r="M6" s="97" t="n">
        <v>7008.13</v>
      </c>
    </row>
    <row r="7">
      <c r="A7" s="96" t="inlineStr">
        <is>
          <t>Change in inventories of traded goods</t>
        </is>
      </c>
      <c r="B7" s="97" t="n">
        <v>-1786.39</v>
      </c>
      <c r="C7" s="97" t="n">
        <v>-1181.77</v>
      </c>
      <c r="D7" s="97" t="n">
        <v>-874.8200000000001</v>
      </c>
      <c r="E7" s="97" t="n">
        <v>976.91</v>
      </c>
      <c r="F7" s="97" t="n">
        <v>-1635.43</v>
      </c>
      <c r="G7" s="97" t="n">
        <v>-1429.64</v>
      </c>
      <c r="H7" s="97" t="n">
        <v>-1191.8</v>
      </c>
      <c r="I7" s="97" t="n">
        <v>-582.08</v>
      </c>
      <c r="J7" s="97" t="n">
        <v>-135.09</v>
      </c>
      <c r="K7" s="97" t="n">
        <v>-289.38</v>
      </c>
      <c r="L7" s="97" t="n">
        <v>538.9299999999999</v>
      </c>
      <c r="M7" s="97" t="n">
        <v>197.4</v>
      </c>
    </row>
    <row r="8">
      <c r="A8" s="96" t="inlineStr">
        <is>
          <t>Delivery and handling expense</t>
        </is>
      </c>
      <c r="B8" s="97" t="n">
        <v>10111.9</v>
      </c>
      <c r="C8" s="97" t="n">
        <v>8015.23</v>
      </c>
      <c r="D8" s="97" t="n">
        <v>6436.72</v>
      </c>
      <c r="E8" s="97" t="n">
        <v>5899.56</v>
      </c>
      <c r="F8" s="97" t="n">
        <v>6013.06</v>
      </c>
      <c r="G8" s="97" t="n">
        <v>4680.55</v>
      </c>
      <c r="H8" s="97" t="n">
        <v>3149.44</v>
      </c>
      <c r="I8" s="97" t="n">
        <v>2146.3</v>
      </c>
      <c r="J8" s="97" t="n">
        <v>2013.68</v>
      </c>
      <c r="K8" s="97" t="n">
        <v>1508.07</v>
      </c>
      <c r="L8" s="97" t="n">
        <v>1206.55</v>
      </c>
      <c r="M8" s="97" t="n">
        <v>1080.42</v>
      </c>
    </row>
    <row r="9">
      <c r="A9" s="96" t="inlineStr">
        <is>
          <t>Employee benefits expense</t>
        </is>
      </c>
      <c r="B9" s="97" t="n">
        <v>6403.38</v>
      </c>
      <c r="C9" s="97" t="n">
        <v>4220.01</v>
      </c>
      <c r="D9" s="97" t="n">
        <v>3800.62</v>
      </c>
      <c r="E9" s="97" t="n">
        <v>3422.66</v>
      </c>
      <c r="F9" s="97" t="n">
        <v>4178.23</v>
      </c>
      <c r="G9" s="97" t="n">
        <v>4366.48</v>
      </c>
      <c r="H9" s="97" t="n">
        <v>1981.41</v>
      </c>
      <c r="I9" s="97" t="n">
        <v>1880.31</v>
      </c>
      <c r="J9" s="97" t="n">
        <v>1408.53</v>
      </c>
      <c r="K9" s="97" t="n">
        <v>1040.08</v>
      </c>
      <c r="L9" s="97" t="n">
        <v>1030.18</v>
      </c>
      <c r="M9" s="97" t="n">
        <v>783.15</v>
      </c>
    </row>
    <row r="10">
      <c r="A10" s="96" t="inlineStr">
        <is>
          <t>Finance costs</t>
        </is>
      </c>
      <c r="B10" s="97" t="n">
        <v>661.84</v>
      </c>
      <c r="C10" s="97" t="n">
        <v>669.73</v>
      </c>
      <c r="D10" s="97" t="n">
        <v>688.7</v>
      </c>
      <c r="E10" s="97" t="n">
        <v>627.64</v>
      </c>
      <c r="F10" s="97" t="n">
        <v>547.27</v>
      </c>
      <c r="G10" s="97" t="n">
        <v>413.26</v>
      </c>
      <c r="H10" s="97" t="n">
        <v>233.66</v>
      </c>
      <c r="I10" s="97" t="n">
        <v>182.89</v>
      </c>
      <c r="J10" s="97" t="n">
        <v>148.39</v>
      </c>
      <c r="K10" s="97" t="n">
        <v>157.84</v>
      </c>
      <c r="L10" s="97" t="n">
        <v>136.71</v>
      </c>
      <c r="M10" s="97" t="n">
        <v>126</v>
      </c>
    </row>
    <row r="11">
      <c r="A11" s="96" t="inlineStr">
        <is>
          <t>Depreciation &amp; amortisation</t>
        </is>
      </c>
      <c r="B11" s="97" t="n">
        <v>2462.4</v>
      </c>
      <c r="C11" s="97" t="n">
        <v>2295.12</v>
      </c>
      <c r="D11" s="97" t="n">
        <v>2193.34</v>
      </c>
      <c r="E11" s="97" t="n">
        <v>1991.7</v>
      </c>
      <c r="F11" s="97" t="n">
        <v>1702.11</v>
      </c>
      <c r="G11" s="97" t="n">
        <v>1197.11</v>
      </c>
      <c r="H11" s="97" t="n">
        <v>646.05</v>
      </c>
      <c r="I11" s="97" t="n">
        <v>495.48</v>
      </c>
      <c r="J11" s="97" t="n">
        <v>438.97</v>
      </c>
      <c r="K11" s="97" t="n">
        <v>302.57</v>
      </c>
      <c r="L11" s="97" t="n">
        <v>252.58</v>
      </c>
      <c r="M11" s="97" t="n">
        <v>215.68</v>
      </c>
    </row>
    <row r="12">
      <c r="A12" s="96" t="inlineStr">
        <is>
          <t>Other expenses</t>
        </is>
      </c>
      <c r="B12" s="97" t="n">
        <v>10717.15</v>
      </c>
      <c r="C12" s="97" t="n">
        <v>13407.66</v>
      </c>
      <c r="D12" s="97" t="n">
        <v>13256.75</v>
      </c>
      <c r="E12" s="97" t="n">
        <v>11001.67</v>
      </c>
      <c r="F12" s="97" t="n">
        <v>12123.87</v>
      </c>
      <c r="G12" s="97" t="n">
        <v>11484.42</v>
      </c>
      <c r="H12" s="97" t="n">
        <v>6333.58</v>
      </c>
      <c r="I12" s="97" t="n">
        <v>3233.98</v>
      </c>
      <c r="J12" s="97" t="n">
        <v>3745.9</v>
      </c>
      <c r="K12" s="97" t="n">
        <v>2977.04</v>
      </c>
      <c r="L12" s="97" t="n">
        <v>2144.79</v>
      </c>
      <c r="M12" s="97" t="n">
        <v>1856.42</v>
      </c>
    </row>
    <row r="13">
      <c r="A13" s="104" t="inlineStr">
        <is>
          <t>Note 23 — Employee benefits expense</t>
        </is>
      </c>
    </row>
    <row r="14">
      <c r="A14" s="96" t="inlineStr">
        <is>
          <t>Salaries, wages and bonus</t>
        </is>
      </c>
      <c r="B14" s="97" t="n">
        <v>3816.46</v>
      </c>
      <c r="C14" s="97" t="n">
        <v>2489.54</v>
      </c>
      <c r="D14" s="97" t="n">
        <v>2597.54</v>
      </c>
      <c r="E14" s="97" t="n">
        <v>2366.19</v>
      </c>
      <c r="F14" s="97" t="n">
        <v>3042.15</v>
      </c>
      <c r="G14" s="97" t="n">
        <v>2531.3</v>
      </c>
      <c r="H14" s="97" t="n">
        <v>1591.6</v>
      </c>
      <c r="I14" s="97" t="n">
        <v>1109.01</v>
      </c>
      <c r="J14" s="97" t="n">
        <v>892.3099999999999</v>
      </c>
      <c r="K14" s="97" t="n">
        <v>823.96</v>
      </c>
      <c r="L14" s="97" t="n">
        <v>784.41</v>
      </c>
      <c r="M14" s="97" t="n">
        <v>730.55</v>
      </c>
    </row>
    <row r="15">
      <c r="A15" s="96" t="inlineStr">
        <is>
          <t>Contribution to provident &amp; other funds</t>
        </is>
      </c>
      <c r="B15" s="97" t="n">
        <v>188.69</v>
      </c>
      <c r="C15" s="97" t="n">
        <v>47.57</v>
      </c>
      <c r="D15" s="97" t="n">
        <v>51.04</v>
      </c>
      <c r="E15" s="97" t="n">
        <v>49.48</v>
      </c>
      <c r="F15" s="97" t="n">
        <v>58.29</v>
      </c>
      <c r="G15" s="97" t="n">
        <v>41.25</v>
      </c>
      <c r="H15" s="97" t="n">
        <v>26.9</v>
      </c>
      <c r="I15" s="97" t="n">
        <v>20.95</v>
      </c>
      <c r="J15" s="97" t="n">
        <v>21.58</v>
      </c>
      <c r="K15" s="97" t="n">
        <v>19.45</v>
      </c>
      <c r="L15" s="97" t="n">
        <v>23.17</v>
      </c>
      <c r="M15" s="97" t="n">
        <v>16.93</v>
      </c>
    </row>
    <row r="16">
      <c r="A16" s="96" t="inlineStr">
        <is>
          <t>Gratuity expense / (reversal)</t>
        </is>
      </c>
      <c r="B16" s="97" t="n">
        <v>41.63</v>
      </c>
      <c r="C16" s="97" t="n">
        <v>-43.15</v>
      </c>
      <c r="D16" s="97" t="n">
        <v>84.98999999999999</v>
      </c>
      <c r="E16" s="97" t="n">
        <v>84.98</v>
      </c>
      <c r="F16" s="97" t="n">
        <v>25.42</v>
      </c>
      <c r="G16" s="97" t="n">
        <v>25.4</v>
      </c>
      <c r="H16" s="97" t="n">
        <v>29.22</v>
      </c>
      <c r="I16" s="97" t="n">
        <v>21.61</v>
      </c>
      <c r="J16" s="97" t="n">
        <v>11.46</v>
      </c>
      <c r="K16" s="97" t="n">
        <v>11.3</v>
      </c>
      <c r="L16" s="97" t="n">
        <v>11.3</v>
      </c>
      <c r="M16" s="97" t="n">
        <v>11.29</v>
      </c>
    </row>
    <row r="17">
      <c r="A17" s="96" t="inlineStr">
        <is>
          <t>Share based payment expense</t>
        </is>
      </c>
      <c r="B17" s="97" t="n">
        <v>2209.38</v>
      </c>
      <c r="C17" s="97" t="n">
        <v>1600.68</v>
      </c>
      <c r="D17" s="97" t="n">
        <v>959.92</v>
      </c>
      <c r="E17" s="97" t="n">
        <v>799.4400000000001</v>
      </c>
      <c r="F17" s="97" t="n">
        <v>882.4299999999999</v>
      </c>
      <c r="G17" s="97" t="n">
        <v>1405.7</v>
      </c>
      <c r="H17" s="97" t="n">
        <v>270.14</v>
      </c>
      <c r="I17" s="97" t="n">
        <v>676.1900000000001</v>
      </c>
      <c r="J17" s="97" t="n">
        <v>444.39</v>
      </c>
      <c r="K17" s="97" t="n">
        <v>127.92</v>
      </c>
      <c r="L17" s="97" t="n">
        <v>175.56</v>
      </c>
      <c r="M17" s="97" t="n">
        <v>-10.32</v>
      </c>
    </row>
    <row r="18">
      <c r="A18" s="96" t="inlineStr">
        <is>
          <t>Staff welfare expenses</t>
        </is>
      </c>
      <c r="B18" s="97" t="n">
        <v>147.22</v>
      </c>
      <c r="C18" s="97" t="n">
        <v>125.37</v>
      </c>
      <c r="D18" s="97" t="n">
        <v>107.13</v>
      </c>
      <c r="E18" s="97" t="n">
        <v>122.57</v>
      </c>
      <c r="F18" s="97" t="n">
        <v>169.94</v>
      </c>
      <c r="G18" s="97" t="n">
        <v>362.83</v>
      </c>
      <c r="H18" s="97" t="n">
        <v>63.55</v>
      </c>
      <c r="I18" s="97" t="n">
        <v>52.55</v>
      </c>
      <c r="J18" s="97" t="n">
        <v>38.79</v>
      </c>
      <c r="K18" s="97" t="n">
        <v>57.45</v>
      </c>
      <c r="L18" s="97" t="n">
        <v>35.74</v>
      </c>
      <c r="M18" s="97" t="n">
        <v>34.7</v>
      </c>
    </row>
    <row r="19">
      <c r="A19" s="105" t="inlineStr">
        <is>
          <t>Total employee benefits</t>
        </is>
      </c>
      <c r="B19" s="106" t="n">
        <v>6403.38</v>
      </c>
      <c r="C19" s="106" t="n">
        <v>4220.01</v>
      </c>
      <c r="D19" s="106" t="n">
        <v>3800.62</v>
      </c>
      <c r="E19" s="106" t="n">
        <v>3422.66</v>
      </c>
      <c r="F19" s="106" t="n">
        <v>4178.23</v>
      </c>
      <c r="G19" s="106" t="n">
        <v>4366.48</v>
      </c>
      <c r="H19" s="106" t="n">
        <v>1981.41</v>
      </c>
      <c r="I19" s="106" t="n">
        <v>1880.31</v>
      </c>
      <c r="J19" s="106" t="n">
        <v>1408.53</v>
      </c>
      <c r="K19" s="106" t="n">
        <v>1040.08</v>
      </c>
      <c r="L19" s="106" t="n">
        <v>1030.18</v>
      </c>
      <c r="M19" s="106" t="n">
        <v>783.15</v>
      </c>
    </row>
    <row r="20">
      <c r="A20" s="104" t="inlineStr">
        <is>
          <t>Note 24 — Finance costs</t>
        </is>
      </c>
    </row>
    <row r="21">
      <c r="A21" s="96" t="inlineStr">
        <is>
          <t>Interest on borrowings</t>
        </is>
      </c>
      <c r="B21" s="97" t="n">
        <v>0.41</v>
      </c>
      <c r="C21" s="97" t="n">
        <v>0.16</v>
      </c>
      <c r="D21" s="97" t="n">
        <v>0</v>
      </c>
      <c r="E21" s="97" t="n">
        <v>0.07000000000000001</v>
      </c>
      <c r="F21" s="97" t="n">
        <v>5.8</v>
      </c>
      <c r="G21" s="97" t="n">
        <v>19.5</v>
      </c>
      <c r="H21" s="97" t="n">
        <v>24.06</v>
      </c>
      <c r="I21" s="97" t="n">
        <v>42.78</v>
      </c>
      <c r="J21" s="97" t="n">
        <v>31.77</v>
      </c>
      <c r="K21" s="97" t="n">
        <v>43.42</v>
      </c>
      <c r="L21" s="97" t="n">
        <v>49.71</v>
      </c>
      <c r="M21" s="97" t="n">
        <v>50.79</v>
      </c>
    </row>
    <row r="22">
      <c r="A22" s="96" t="inlineStr">
        <is>
          <t>Interest on lease liabilities</t>
        </is>
      </c>
      <c r="B22" s="97" t="n">
        <v>646.61</v>
      </c>
      <c r="C22" s="97" t="n">
        <v>658.9299999999999</v>
      </c>
      <c r="D22" s="97" t="n">
        <v>667.27</v>
      </c>
      <c r="E22" s="97" t="n">
        <v>618.21</v>
      </c>
      <c r="F22" s="97" t="n">
        <v>539.0700000000001</v>
      </c>
      <c r="G22" s="97" t="n">
        <v>389.97</v>
      </c>
      <c r="H22" s="97" t="n">
        <v>206.94</v>
      </c>
      <c r="I22" s="97" t="n">
        <v>136.2</v>
      </c>
      <c r="J22" s="97" t="n">
        <v>109.44</v>
      </c>
      <c r="K22" s="97" t="n">
        <v>101.13</v>
      </c>
      <c r="L22" s="97" t="n">
        <v>85.06999999999999</v>
      </c>
      <c r="M22" s="97" t="n">
        <v>71.06999999999999</v>
      </c>
    </row>
    <row r="23">
      <c r="A23" s="96" t="inlineStr">
        <is>
          <t>Bank and finance charges</t>
        </is>
      </c>
      <c r="B23" s="97" t="n">
        <v>8.470000000000001</v>
      </c>
      <c r="C23" s="97" t="n">
        <v>4.75</v>
      </c>
      <c r="D23" s="97" t="n">
        <v>14.98</v>
      </c>
      <c r="E23" s="97" t="n">
        <v>2.91</v>
      </c>
      <c r="F23" s="97" t="n">
        <v>0.12</v>
      </c>
      <c r="G23" s="97" t="n">
        <v>1.5</v>
      </c>
      <c r="H23" s="97" t="n">
        <v>0.38</v>
      </c>
      <c r="I23" s="97" t="n">
        <v>1.63</v>
      </c>
      <c r="J23" s="97" t="n">
        <v>6.48</v>
      </c>
      <c r="K23" s="97" t="n">
        <v>12.6</v>
      </c>
      <c r="L23" s="97" t="n">
        <v>1.24</v>
      </c>
      <c r="M23" s="97" t="n">
        <v>3.45</v>
      </c>
    </row>
    <row r="24">
      <c r="A24" s="96" t="inlineStr">
        <is>
          <t>Interest on defined benefit obligations</t>
        </is>
      </c>
      <c r="B24" s="97" t="n">
        <v>6.35</v>
      </c>
      <c r="C24" s="97" t="n">
        <v>5.89</v>
      </c>
      <c r="D24" s="97" t="n">
        <v>6.45</v>
      </c>
      <c r="E24" s="97" t="n">
        <v>6.45</v>
      </c>
      <c r="F24" s="97" t="n">
        <v>2.28</v>
      </c>
      <c r="G24" s="97" t="n">
        <v>2.29</v>
      </c>
      <c r="H24" s="97" t="n">
        <v>2.28</v>
      </c>
      <c r="I24" s="97" t="n">
        <v>2.28</v>
      </c>
      <c r="J24" s="97" t="n">
        <v>0.7</v>
      </c>
      <c r="K24" s="97" t="n">
        <v>0.6899999999999999</v>
      </c>
      <c r="L24" s="97" t="n">
        <v>0.6899999999999999</v>
      </c>
      <c r="M24" s="97" t="n">
        <v>0.6899999999999999</v>
      </c>
    </row>
    <row r="25">
      <c r="A25" s="105" t="inlineStr">
        <is>
          <t>Total finance costs</t>
        </is>
      </c>
      <c r="B25" s="106" t="n">
        <v>661.84</v>
      </c>
      <c r="C25" s="106" t="n">
        <v>669.73</v>
      </c>
      <c r="D25" s="106" t="n">
        <v>688.7</v>
      </c>
      <c r="E25" s="106" t="n">
        <v>627.64</v>
      </c>
      <c r="F25" s="106" t="n">
        <v>547.27</v>
      </c>
      <c r="G25" s="106" t="n">
        <v>413.26</v>
      </c>
      <c r="H25" s="106" t="n">
        <v>233.66</v>
      </c>
      <c r="I25" s="106" t="n">
        <v>182.89</v>
      </c>
      <c r="J25" s="106" t="n">
        <v>148.39</v>
      </c>
      <c r="K25" s="106" t="n">
        <v>157.84</v>
      </c>
      <c r="L25" s="106" t="n">
        <v>136.71</v>
      </c>
      <c r="M25" s="106" t="n">
        <v>126</v>
      </c>
    </row>
    <row r="26">
      <c r="A26" s="104" t="inlineStr">
        <is>
          <t>Note 25 — Depreciation &amp; amortisation</t>
        </is>
      </c>
    </row>
    <row r="27">
      <c r="A27" s="96" t="inlineStr">
        <is>
          <t>Depreciation of PP&amp;E</t>
        </is>
      </c>
      <c r="B27" s="97" t="n">
        <v>806.86</v>
      </c>
      <c r="C27" s="97" t="n">
        <v>755.6799999999999</v>
      </c>
      <c r="D27" s="97" t="n">
        <v>705.42</v>
      </c>
      <c r="E27" s="97" t="n">
        <v>650.27</v>
      </c>
      <c r="F27" s="97" t="n">
        <v>586.61</v>
      </c>
      <c r="G27" s="97" t="n">
        <v>377.52</v>
      </c>
      <c r="H27" s="97" t="n">
        <v>171.79</v>
      </c>
      <c r="I27" s="97" t="n">
        <v>169.74</v>
      </c>
      <c r="J27" s="97" t="n">
        <v>223.92</v>
      </c>
      <c r="K27" s="97" t="n">
        <v>102.39</v>
      </c>
      <c r="L27" s="97" t="n">
        <v>84.56</v>
      </c>
      <c r="M27" s="97" t="n">
        <v>76.34999999999999</v>
      </c>
    </row>
    <row r="28">
      <c r="A28" s="96" t="inlineStr">
        <is>
          <t>Amortisation of intangible assets</t>
        </is>
      </c>
      <c r="B28" s="97" t="n">
        <v>149.51</v>
      </c>
      <c r="C28" s="97" t="n">
        <v>103.28</v>
      </c>
      <c r="D28" s="97" t="n">
        <v>55.35</v>
      </c>
      <c r="E28" s="97" t="n">
        <v>8.039999999999999</v>
      </c>
      <c r="F28" s="97" t="n">
        <v>4.71</v>
      </c>
      <c r="G28" s="97" t="n">
        <v>3.33</v>
      </c>
      <c r="H28" s="97" t="n">
        <v>3.33</v>
      </c>
      <c r="I28" s="97" t="n">
        <v>3.29</v>
      </c>
      <c r="J28" s="97" t="n">
        <v>4.23</v>
      </c>
      <c r="K28" s="97" t="n">
        <v>2.81</v>
      </c>
      <c r="L28" s="97" t="n">
        <v>2.55</v>
      </c>
      <c r="M28" s="97" t="n">
        <v>2.31</v>
      </c>
    </row>
    <row r="29">
      <c r="A29" s="96" t="inlineStr">
        <is>
          <t>Depreciation of ROU assets</t>
        </is>
      </c>
      <c r="B29" s="97" t="n">
        <v>1506.03</v>
      </c>
      <c r="C29" s="97" t="n">
        <v>1436.16</v>
      </c>
      <c r="D29" s="97" t="n">
        <v>1432.57</v>
      </c>
      <c r="E29" s="97" t="n">
        <v>1333.39</v>
      </c>
      <c r="F29" s="97" t="n">
        <v>1110.79</v>
      </c>
      <c r="G29" s="97" t="n">
        <v>816.26</v>
      </c>
      <c r="H29" s="97" t="n">
        <v>470.93</v>
      </c>
      <c r="I29" s="97" t="n">
        <v>322.45</v>
      </c>
      <c r="J29" s="97" t="n">
        <v>210.82</v>
      </c>
      <c r="K29" s="97" t="n">
        <v>197.37</v>
      </c>
      <c r="L29" s="97" t="n">
        <v>165.47</v>
      </c>
      <c r="M29" s="97" t="n">
        <v>137.02</v>
      </c>
    </row>
    <row r="30">
      <c r="A30" s="105" t="inlineStr">
        <is>
          <t>Total D&amp;A</t>
        </is>
      </c>
      <c r="B30" s="106" t="n">
        <v>2462.4</v>
      </c>
      <c r="C30" s="106" t="n">
        <v>2295.12</v>
      </c>
      <c r="D30" s="106" t="n">
        <v>2193.34</v>
      </c>
      <c r="E30" s="106" t="n">
        <v>1991.7</v>
      </c>
      <c r="F30" s="106" t="n">
        <v>1702.11</v>
      </c>
      <c r="G30" s="106" t="n">
        <v>1197.11</v>
      </c>
      <c r="H30" s="106" t="n">
        <v>646.05</v>
      </c>
      <c r="I30" s="106" t="n">
        <v>495.48</v>
      </c>
      <c r="J30" s="106" t="n">
        <v>438.97</v>
      </c>
      <c r="K30" s="106" t="n">
        <v>302.57</v>
      </c>
      <c r="L30" s="106" t="n">
        <v>252.58</v>
      </c>
      <c r="M30" s="106" t="n">
        <v>215.68</v>
      </c>
    </row>
    <row r="31">
      <c r="A31" s="104" t="inlineStr">
        <is>
          <t>Note 26 — Other expenses</t>
        </is>
      </c>
    </row>
    <row r="32">
      <c r="A32" s="96" t="inlineStr">
        <is>
          <t>Warehousing expenses</t>
        </is>
      </c>
      <c r="B32" s="97" t="n">
        <v>5100.74</v>
      </c>
      <c r="C32" s="97" t="n">
        <v>5919.87</v>
      </c>
      <c r="D32" s="97" t="n">
        <v>5111.17</v>
      </c>
      <c r="E32" s="97" t="n">
        <v>5366.71</v>
      </c>
      <c r="F32" s="97" t="n">
        <v>5908.37</v>
      </c>
      <c r="G32" s="97" t="n">
        <v>4127.59</v>
      </c>
      <c r="H32" s="97" t="n">
        <v>2319.59</v>
      </c>
      <c r="I32" s="97" t="n">
        <v>1462.54</v>
      </c>
      <c r="J32" s="97" t="n">
        <v>1533.84</v>
      </c>
      <c r="K32" s="97" t="n">
        <v>1355.66</v>
      </c>
      <c r="L32" s="97" t="n">
        <v>1069.47</v>
      </c>
      <c r="M32" s="97" t="n">
        <v>995.89</v>
      </c>
    </row>
    <row r="33">
      <c r="A33" s="96" t="inlineStr">
        <is>
          <t>Advertisement expenses</t>
        </is>
      </c>
      <c r="B33" s="97" t="n">
        <v>2523.6</v>
      </c>
      <c r="C33" s="97" t="n">
        <v>2928.85</v>
      </c>
      <c r="D33" s="97" t="n">
        <v>5421.62</v>
      </c>
      <c r="E33" s="97" t="n">
        <v>3017.1</v>
      </c>
      <c r="F33" s="97" t="n">
        <v>3143.03</v>
      </c>
      <c r="G33" s="97" t="n">
        <v>5148.83</v>
      </c>
      <c r="H33" s="97" t="n">
        <v>2640.08</v>
      </c>
      <c r="I33" s="97" t="n">
        <v>934.67</v>
      </c>
      <c r="J33" s="97" t="n">
        <v>1321.48</v>
      </c>
      <c r="K33" s="97" t="n">
        <v>980.05</v>
      </c>
      <c r="L33" s="97" t="n">
        <v>417.44</v>
      </c>
      <c r="M33" s="97" t="n">
        <v>316.52</v>
      </c>
    </row>
    <row r="34">
      <c r="A34" s="96" t="inlineStr">
        <is>
          <t>Software expenses</t>
        </is>
      </c>
      <c r="B34" s="97" t="n">
        <v>630.52</v>
      </c>
      <c r="C34" s="97" t="n">
        <v>775.8200000000001</v>
      </c>
      <c r="D34" s="97" t="n">
        <v>828.38</v>
      </c>
      <c r="E34" s="97" t="n">
        <v>766.46</v>
      </c>
      <c r="F34" s="97" t="n">
        <v>947.9400000000001</v>
      </c>
      <c r="G34" s="97" t="n">
        <v>611.16</v>
      </c>
      <c r="H34" s="97" t="n">
        <v>403.68</v>
      </c>
      <c r="I34" s="97" t="n">
        <v>327.69</v>
      </c>
      <c r="J34" s="97" t="n">
        <v>294.9</v>
      </c>
      <c r="K34" s="97" t="n">
        <v>296.56</v>
      </c>
      <c r="L34" s="97" t="n">
        <v>302.66</v>
      </c>
      <c r="M34" s="97" t="n">
        <v>252.18</v>
      </c>
    </row>
    <row r="35">
      <c r="A35" s="96" t="inlineStr">
        <is>
          <t>Power and fuel</t>
        </is>
      </c>
      <c r="B35" s="97" t="n">
        <v>350.31</v>
      </c>
      <c r="C35" s="97" t="n">
        <v>428.3</v>
      </c>
      <c r="D35" s="97" t="n">
        <v>412.12</v>
      </c>
      <c r="E35" s="97" t="n">
        <v>422.96</v>
      </c>
      <c r="F35" s="97" t="n">
        <v>493.41</v>
      </c>
      <c r="G35" s="97" t="n">
        <v>373.55</v>
      </c>
      <c r="H35" s="97" t="n">
        <v>181.64</v>
      </c>
      <c r="I35" s="97" t="n">
        <v>87.29000000000001</v>
      </c>
      <c r="J35" s="97" t="n">
        <v>97.59</v>
      </c>
      <c r="K35" s="97" t="n">
        <v>104.62</v>
      </c>
      <c r="L35" s="97" t="n">
        <v>72.54000000000001</v>
      </c>
      <c r="M35" s="97" t="n">
        <v>63.1</v>
      </c>
    </row>
    <row r="36">
      <c r="A36" s="96" t="inlineStr">
        <is>
          <t>Store and franchisee expenses</t>
        </is>
      </c>
      <c r="B36" s="97" t="n">
        <v>994.27</v>
      </c>
      <c r="C36" s="97" t="n">
        <v>759.49</v>
      </c>
      <c r="D36" s="97" t="n">
        <v>634.28</v>
      </c>
      <c r="E36" s="97" t="n">
        <v>553.28</v>
      </c>
      <c r="F36" s="97" t="n">
        <v>444.23</v>
      </c>
      <c r="G36" s="97" t="n">
        <v>280.6</v>
      </c>
      <c r="H36" s="97" t="n">
        <v>177.93</v>
      </c>
      <c r="I36" s="97" t="n">
        <v>130.12</v>
      </c>
      <c r="J36" s="97" t="n">
        <v>114.73</v>
      </c>
      <c r="K36" s="97" t="n">
        <v>114.77</v>
      </c>
      <c r="L36" s="97" t="n">
        <v>108.32</v>
      </c>
      <c r="M36" s="97" t="n">
        <v>79.39</v>
      </c>
    </row>
    <row r="37">
      <c r="A37" s="96" t="inlineStr">
        <is>
          <t>Legal and professional fees</t>
        </is>
      </c>
      <c r="B37" s="97" t="n">
        <v>196.19</v>
      </c>
      <c r="C37" s="97" t="n">
        <v>183.2</v>
      </c>
      <c r="D37" s="97" t="n">
        <v>167.64</v>
      </c>
      <c r="E37" s="97" t="n">
        <v>162.77</v>
      </c>
      <c r="F37" s="97" t="n">
        <v>220.02</v>
      </c>
      <c r="G37" s="97" t="n">
        <v>485.54</v>
      </c>
      <c r="H37" s="97" t="n">
        <v>117.05</v>
      </c>
      <c r="I37" s="97" t="n">
        <v>62.86</v>
      </c>
      <c r="J37" s="97" t="n">
        <v>166.42</v>
      </c>
      <c r="K37" s="97" t="n">
        <v>25.52</v>
      </c>
      <c r="L37" s="97" t="n">
        <v>83.23999999999999</v>
      </c>
      <c r="M37" s="97" t="n">
        <v>97.41</v>
      </c>
    </row>
    <row r="38">
      <c r="A38" s="96" t="inlineStr">
        <is>
          <t>Rent</t>
        </is>
      </c>
      <c r="B38" s="97" t="n">
        <v>49.98</v>
      </c>
      <c r="C38" s="97" t="n">
        <v>0.47</v>
      </c>
      <c r="D38" s="97" t="n">
        <v>1.59</v>
      </c>
      <c r="E38" s="97" t="n">
        <v>35</v>
      </c>
      <c r="F38" s="97" t="n">
        <v>170.71</v>
      </c>
      <c r="G38" s="97" t="n">
        <v>176.29</v>
      </c>
      <c r="H38" s="97" t="n">
        <v>47.78</v>
      </c>
      <c r="I38" s="97" t="n">
        <v>56.18</v>
      </c>
      <c r="J38" s="97" t="n">
        <v>40.57</v>
      </c>
      <c r="K38" s="97" t="n">
        <v>38.53</v>
      </c>
      <c r="L38" s="97" t="n">
        <v>32.53</v>
      </c>
      <c r="M38" s="97" t="n">
        <v>27.74</v>
      </c>
    </row>
    <row r="39">
      <c r="A39" s="96" t="inlineStr">
        <is>
          <t>Repairs &amp; maintenance - Plant &amp; machinery</t>
        </is>
      </c>
      <c r="B39" s="97" t="n">
        <v>172.61</v>
      </c>
      <c r="C39" s="97" t="n">
        <v>66.95</v>
      </c>
      <c r="D39" s="97" t="n">
        <v>53.52</v>
      </c>
      <c r="E39" s="97" t="n">
        <v>36.65</v>
      </c>
      <c r="F39" s="97" t="n">
        <v>67.90000000000001</v>
      </c>
      <c r="G39" s="97" t="n">
        <v>79.03</v>
      </c>
      <c r="H39" s="97" t="n">
        <v>50.63</v>
      </c>
      <c r="I39" s="97" t="n">
        <v>28.09</v>
      </c>
      <c r="J39" s="97" t="n">
        <v>29.31</v>
      </c>
      <c r="K39" s="97" t="n">
        <v>14.51</v>
      </c>
      <c r="L39" s="97" t="n">
        <v>14.42</v>
      </c>
      <c r="M39" s="97" t="n">
        <v>10.42</v>
      </c>
    </row>
    <row r="40">
      <c r="A40" s="96" t="inlineStr">
        <is>
          <t>Repairs &amp; maintenance - Others</t>
        </is>
      </c>
      <c r="B40" s="97" t="n">
        <v>40.02</v>
      </c>
      <c r="C40" s="97" t="n">
        <v>35.03</v>
      </c>
      <c r="D40" s="97" t="n">
        <v>60.33</v>
      </c>
      <c r="E40" s="97" t="n">
        <v>35.62</v>
      </c>
      <c r="F40" s="97" t="n">
        <v>41.05</v>
      </c>
      <c r="G40" s="97" t="n">
        <v>29.68</v>
      </c>
      <c r="H40" s="97" t="n">
        <v>7.36</v>
      </c>
      <c r="I40" s="97" t="n">
        <v>2.9</v>
      </c>
      <c r="J40" s="97" t="n">
        <v>1.94</v>
      </c>
      <c r="K40" s="97" t="n">
        <v>15.29</v>
      </c>
      <c r="L40" s="97" t="n">
        <v>0.57</v>
      </c>
      <c r="M40" s="97" t="n">
        <v>2.81</v>
      </c>
    </row>
    <row r="41">
      <c r="A41" s="96" t="inlineStr">
        <is>
          <t>Payment gateway charges</t>
        </is>
      </c>
      <c r="B41" s="97" t="n">
        <v>239.1</v>
      </c>
      <c r="C41" s="97" t="n">
        <v>190.61</v>
      </c>
      <c r="D41" s="97" t="n">
        <v>171.67</v>
      </c>
      <c r="E41" s="97" t="n">
        <v>169.5</v>
      </c>
      <c r="F41" s="97" t="n">
        <v>111.93</v>
      </c>
      <c r="G41" s="97" t="n">
        <v>33.24</v>
      </c>
      <c r="H41" s="97" t="n">
        <v>10.5</v>
      </c>
      <c r="I41" s="97" t="n">
        <v>10.5</v>
      </c>
      <c r="J41" s="97" t="n">
        <v>0</v>
      </c>
      <c r="K41" s="97" t="n">
        <v>0</v>
      </c>
      <c r="L41" s="97" t="n">
        <v>0</v>
      </c>
      <c r="M41" s="97" t="n">
        <v>0</v>
      </c>
    </row>
    <row r="42">
      <c r="A42" s="96" t="inlineStr">
        <is>
          <t>Travelling and conveyance expenses</t>
        </is>
      </c>
      <c r="B42" s="97" t="n">
        <v>28.63</v>
      </c>
      <c r="C42" s="97" t="n">
        <v>27.5</v>
      </c>
      <c r="D42" s="97" t="n">
        <v>38.21</v>
      </c>
      <c r="E42" s="97" t="n">
        <v>41.95</v>
      </c>
      <c r="F42" s="97" t="n">
        <v>56.11</v>
      </c>
      <c r="G42" s="97" t="n">
        <v>58.71</v>
      </c>
      <c r="H42" s="97" t="n">
        <v>34.44</v>
      </c>
      <c r="I42" s="97" t="n">
        <v>16.87</v>
      </c>
      <c r="J42" s="97" t="n">
        <v>33.58</v>
      </c>
      <c r="K42" s="97" t="n">
        <v>14.74</v>
      </c>
      <c r="L42" s="97" t="n">
        <v>4.68</v>
      </c>
      <c r="M42" s="97" t="n">
        <v>3.8</v>
      </c>
    </row>
    <row r="43">
      <c r="A43" s="96" t="inlineStr">
        <is>
          <t>Rates and taxes</t>
        </is>
      </c>
      <c r="B43" s="97" t="n">
        <v>50.36</v>
      </c>
      <c r="C43" s="97" t="n">
        <v>4.54</v>
      </c>
      <c r="D43" s="97" t="n">
        <v>1.98</v>
      </c>
      <c r="E43" s="97" t="n">
        <v>29.88</v>
      </c>
      <c r="F43" s="97" t="n">
        <v>143.02</v>
      </c>
      <c r="G43" s="97" t="n">
        <v>15.53</v>
      </c>
      <c r="H43" s="97" t="n">
        <v>32.37</v>
      </c>
      <c r="I43" s="97" t="n">
        <v>12.54</v>
      </c>
      <c r="J43" s="97" t="n">
        <v>5.25</v>
      </c>
      <c r="K43" s="97" t="n">
        <v>2.29</v>
      </c>
      <c r="L43" s="97" t="n">
        <v>0.39</v>
      </c>
      <c r="M43" s="97" t="n">
        <v>1.53</v>
      </c>
    </row>
    <row r="44">
      <c r="A44" s="96" t="inlineStr">
        <is>
          <t>Membership and subscription</t>
        </is>
      </c>
      <c r="B44" s="97" t="n">
        <v>1.23</v>
      </c>
      <c r="C44" s="97" t="n">
        <v>1.22</v>
      </c>
      <c r="D44" s="97" t="n">
        <v>8.960000000000001</v>
      </c>
      <c r="E44" s="97" t="n">
        <v>8.94</v>
      </c>
      <c r="F44" s="97" t="n">
        <v>13.26</v>
      </c>
      <c r="G44" s="97" t="n">
        <v>21.39</v>
      </c>
      <c r="H44" s="97" t="n">
        <v>19.11</v>
      </c>
      <c r="I44" s="97" t="n">
        <v>18.44</v>
      </c>
      <c r="J44" s="97" t="n">
        <v>1.31</v>
      </c>
      <c r="K44" s="97" t="n">
        <v>0.11</v>
      </c>
      <c r="L44" s="97" t="n">
        <v>0.31</v>
      </c>
      <c r="M44" s="97" t="n">
        <v>0.23</v>
      </c>
    </row>
    <row r="45">
      <c r="A45" s="96" t="inlineStr">
        <is>
          <t>Insurance charges</t>
        </is>
      </c>
      <c r="B45" s="97" t="n">
        <v>40.04</v>
      </c>
      <c r="C45" s="97" t="n">
        <v>45.79</v>
      </c>
      <c r="D45" s="97" t="n">
        <v>35.36</v>
      </c>
      <c r="E45" s="97" t="n">
        <v>49.77</v>
      </c>
      <c r="F45" s="97" t="n">
        <v>39.02</v>
      </c>
      <c r="G45" s="97" t="n">
        <v>18.88</v>
      </c>
      <c r="H45" s="97" t="n">
        <v>10.93</v>
      </c>
      <c r="I45" s="97" t="n">
        <v>10.81</v>
      </c>
      <c r="J45" s="97" t="n">
        <v>8.220000000000001</v>
      </c>
      <c r="K45" s="97" t="n">
        <v>2.68</v>
      </c>
      <c r="L45" s="97" t="n">
        <v>1.53</v>
      </c>
      <c r="M45" s="97" t="n">
        <v>0.85</v>
      </c>
    </row>
    <row r="46">
      <c r="A46" s="96" t="inlineStr">
        <is>
          <t>Sundry assets written off</t>
        </is>
      </c>
      <c r="B46" s="97" t="n">
        <v>182.58</v>
      </c>
      <c r="C46" s="97" t="n">
        <v>27.32</v>
      </c>
      <c r="D46" s="97" t="n">
        <v>82.15000000000001</v>
      </c>
      <c r="E46" s="97" t="n">
        <v>40.72</v>
      </c>
      <c r="F46" s="97" t="n">
        <v>10.27</v>
      </c>
      <c r="G46" s="97" t="n">
        <v>5</v>
      </c>
      <c r="H46" s="97" t="n">
        <v>6.52</v>
      </c>
      <c r="I46" s="97" t="n">
        <v>41.25</v>
      </c>
      <c r="J46" s="97" t="n">
        <v>0</v>
      </c>
      <c r="K46" s="97" t="n">
        <v>0</v>
      </c>
      <c r="L46" s="97" t="n">
        <v>0</v>
      </c>
      <c r="M46" s="97" t="n">
        <v>0</v>
      </c>
    </row>
    <row r="47">
      <c r="A47" s="96" t="inlineStr">
        <is>
          <t>Foreign exchange loss (net)</t>
        </is>
      </c>
      <c r="B47" s="97" t="n">
        <v>0.65</v>
      </c>
      <c r="C47" s="97" t="n">
        <v>1.34</v>
      </c>
      <c r="D47" s="97" t="n">
        <v>1.12</v>
      </c>
      <c r="E47" s="97" t="n">
        <v>4.05</v>
      </c>
      <c r="F47" s="97" t="n">
        <v>35.35</v>
      </c>
      <c r="G47" s="97" t="n">
        <v>6.89</v>
      </c>
      <c r="H47" s="97" t="n">
        <v>0</v>
      </c>
      <c r="I47" s="97" t="n">
        <v>0</v>
      </c>
      <c r="J47" s="97" t="n">
        <v>0</v>
      </c>
      <c r="K47" s="97" t="n">
        <v>0</v>
      </c>
      <c r="L47" s="97" t="n">
        <v>0</v>
      </c>
      <c r="M47" s="97" t="n">
        <v>0</v>
      </c>
    </row>
    <row r="48">
      <c r="A48" s="96" t="inlineStr">
        <is>
          <t>Payment to auditor</t>
        </is>
      </c>
      <c r="B48" s="97" t="n">
        <v>4.89</v>
      </c>
      <c r="C48" s="97" t="n">
        <v>7.88</v>
      </c>
      <c r="D48" s="97" t="n">
        <v>7.28</v>
      </c>
      <c r="E48" s="97" t="n">
        <v>6</v>
      </c>
      <c r="F48" s="97" t="n">
        <v>9.75</v>
      </c>
      <c r="G48" s="97" t="n">
        <v>4.75</v>
      </c>
      <c r="H48" s="97" t="n">
        <v>4.75</v>
      </c>
      <c r="I48" s="97" t="n">
        <v>4.75</v>
      </c>
      <c r="J48" s="97" t="n">
        <v>2.12</v>
      </c>
      <c r="K48" s="97" t="n">
        <v>2.12</v>
      </c>
      <c r="L48" s="97" t="n">
        <v>2.13</v>
      </c>
      <c r="M48" s="97" t="n">
        <v>2.13</v>
      </c>
    </row>
    <row r="49">
      <c r="A49" s="96" t="inlineStr">
        <is>
          <t>Communication charges</t>
        </is>
      </c>
      <c r="B49" s="97" t="n">
        <v>194.86</v>
      </c>
      <c r="C49" s="97" t="n">
        <v>202.28</v>
      </c>
      <c r="D49" s="97" t="n">
        <v>198.58</v>
      </c>
      <c r="E49" s="97" t="n">
        <v>183.38</v>
      </c>
      <c r="F49" s="97" t="n">
        <v>173.04</v>
      </c>
      <c r="G49" s="97" t="n">
        <v>23.6</v>
      </c>
      <c r="H49" s="97" t="n">
        <v>26.57</v>
      </c>
      <c r="I49" s="97" t="n">
        <v>16.98</v>
      </c>
      <c r="J49" s="97" t="n">
        <v>7.25</v>
      </c>
      <c r="K49" s="97" t="n">
        <v>4.07</v>
      </c>
      <c r="L49" s="97" t="n">
        <v>7.66</v>
      </c>
      <c r="M49" s="97" t="n">
        <v>0.11</v>
      </c>
    </row>
    <row r="50">
      <c r="A50" s="96" t="inlineStr">
        <is>
          <t>(Reversal)/ provision for doubtful debts &amp; advances</t>
        </is>
      </c>
      <c r="B50" s="97" t="n">
        <v>-84.65000000000001</v>
      </c>
      <c r="C50" s="97" t="n">
        <v>76.16</v>
      </c>
      <c r="D50" s="97" t="n">
        <v>20.62</v>
      </c>
      <c r="E50" s="97" t="n">
        <v>70.34</v>
      </c>
      <c r="F50" s="97" t="n">
        <v>83.94</v>
      </c>
      <c r="G50" s="97" t="n">
        <v>-48.06</v>
      </c>
      <c r="H50" s="97" t="n">
        <v>9.630000000000001</v>
      </c>
      <c r="I50" s="97" t="n">
        <v>9.470000000000001</v>
      </c>
      <c r="J50" s="97" t="n">
        <v>26.44</v>
      </c>
      <c r="K50" s="97" t="n">
        <v>0</v>
      </c>
      <c r="L50" s="97" t="n">
        <v>0</v>
      </c>
      <c r="M50" s="97" t="n">
        <v>0</v>
      </c>
    </row>
    <row r="51">
      <c r="A51" s="96" t="inlineStr">
        <is>
          <t>Fair value loss on financial instruments</t>
        </is>
      </c>
      <c r="B51" s="97" t="n">
        <v>0</v>
      </c>
      <c r="C51" s="97" t="n">
        <v>1724.52</v>
      </c>
      <c r="D51" s="97" t="n">
        <v>0</v>
      </c>
      <c r="E51" s="97" t="n">
        <v>0</v>
      </c>
      <c r="F51" s="97" t="n">
        <v>8.06</v>
      </c>
      <c r="G51" s="97" t="n">
        <v>32.22</v>
      </c>
      <c r="H51" s="97" t="n">
        <v>233.02</v>
      </c>
      <c r="I51" s="97" t="n">
        <v>0</v>
      </c>
      <c r="J51" s="97" t="n">
        <v>56.06</v>
      </c>
      <c r="K51" s="97" t="n">
        <v>0</v>
      </c>
      <c r="L51" s="97" t="n">
        <v>23.76</v>
      </c>
      <c r="M51" s="97" t="n">
        <v>0</v>
      </c>
    </row>
    <row r="52">
      <c r="A52" s="96" t="inlineStr">
        <is>
          <t>Loss on sale of property, plant &amp; equipment</t>
        </is>
      </c>
      <c r="B52" s="97" t="n">
        <v>0</v>
      </c>
      <c r="C52" s="97" t="n">
        <v>0</v>
      </c>
      <c r="D52" s="97" t="n">
        <v>0</v>
      </c>
      <c r="E52" s="97" t="n">
        <v>0</v>
      </c>
      <c r="F52" s="97" t="n">
        <v>0</v>
      </c>
      <c r="G52" s="97" t="n">
        <v>0</v>
      </c>
      <c r="H52" s="97" t="n">
        <v>0</v>
      </c>
      <c r="I52" s="97" t="n">
        <v>0</v>
      </c>
      <c r="J52" s="97" t="n">
        <v>0</v>
      </c>
      <c r="K52" s="97" t="n">
        <v>0.17</v>
      </c>
      <c r="L52" s="97" t="n">
        <v>0</v>
      </c>
      <c r="M52" s="97" t="n">
        <v>0</v>
      </c>
    </row>
    <row r="53">
      <c r="A53" s="96" t="inlineStr">
        <is>
          <t>Miscellaneous expenses</t>
        </is>
      </c>
      <c r="B53" s="97" t="n">
        <v>1.22</v>
      </c>
      <c r="C53" s="97" t="n">
        <v>0.52</v>
      </c>
      <c r="D53" s="97" t="n">
        <v>0.17</v>
      </c>
      <c r="E53" s="97" t="n">
        <v>0.59</v>
      </c>
      <c r="F53" s="97" t="n">
        <v>3.46</v>
      </c>
      <c r="G53" s="97" t="n">
        <v>0</v>
      </c>
      <c r="H53" s="97" t="n">
        <v>0</v>
      </c>
      <c r="I53" s="97" t="n">
        <v>0.03</v>
      </c>
      <c r="J53" s="97" t="n">
        <v>4.89</v>
      </c>
      <c r="K53" s="97" t="n">
        <v>5.35</v>
      </c>
      <c r="L53" s="97" t="n">
        <v>3.14</v>
      </c>
      <c r="M53" s="97" t="n">
        <v>2.31</v>
      </c>
    </row>
    <row r="54">
      <c r="A54" s="105" t="inlineStr">
        <is>
          <t>Total other expenses</t>
        </is>
      </c>
      <c r="B54" s="106" t="n">
        <v>10717.15</v>
      </c>
      <c r="C54" s="106" t="n">
        <v>13407.66</v>
      </c>
      <c r="D54" s="106" t="n">
        <v>13256.75</v>
      </c>
      <c r="E54" s="106" t="n">
        <v>11001.67</v>
      </c>
      <c r="F54" s="106" t="n">
        <v>12123.87</v>
      </c>
      <c r="G54" s="106" t="n">
        <v>11484.42</v>
      </c>
      <c r="H54" s="106" t="n">
        <v>6333.58</v>
      </c>
      <c r="I54" s="106" t="n">
        <v>3233.98</v>
      </c>
      <c r="J54" s="106" t="n">
        <v>3745.9</v>
      </c>
      <c r="K54" s="106" t="n">
        <v>2977.04</v>
      </c>
      <c r="L54" s="106" t="n">
        <v>2144.79</v>
      </c>
      <c r="M54" s="106" t="n">
        <v>1856.42</v>
      </c>
    </row>
  </sheetData>
  <mergeCells count="7">
    <mergeCell ref="A13:M13"/>
    <mergeCell ref="A1:M1"/>
    <mergeCell ref="A5:M5"/>
    <mergeCell ref="A31:M31"/>
    <mergeCell ref="A26:M26"/>
    <mergeCell ref="A20:M20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2026-06-09T04:00:56Z</dcterms:created>
  <dcterms:modified xmlns:dcterms="http://purl.org/dc/terms/" xmlns:xsi="http://www.w3.org/2001/XMLSchema-instance" xsi:type="dcterms:W3CDTF">2026-06-09T09:58:38Z</dcterms:modified>
  <cp:revision>0</cp:revision>
</cp:coreProperties>
</file>