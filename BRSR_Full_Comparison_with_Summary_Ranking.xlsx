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 HR Training &amp; Wages (P5)" sheetId="2" state="visible" r:id="rId4"/>
    <sheet name="2. HR Complaints &amp; POSH (P5)" sheetId="3" state="visible" r:id="rId5"/>
    <sheet name="3. HR Other Disclosures (P5)" sheetId="4" state="visible" r:id="rId6"/>
    <sheet name="4. Energy Consumption (P6)" sheetId="5" state="visible" r:id="rId7"/>
    <sheet name="5. Water (P6)" sheetId="6" state="visible" r:id="rId8"/>
    <sheet name="6. Air Emissions &amp; GHG 1-2 (P6)" sheetId="7" state="visible" r:id="rId9"/>
    <sheet name="7. GHG Scope3 &amp; Biodiv (P6)" sheetId="8" state="visible" r:id="rId10"/>
    <sheet name="8. Waste Management (P6)" sheetId="9" state="visible" r:id="rId11"/>
    <sheet name="9. Other Disclosures (P6)" sheetId="10" state="visible" r:id="rId12"/>
    <sheet name="10. GHG Initiatives (P6)" sheetId="11" state="visible" r:id="rId13"/>
    <sheet name="11. Consumer Complaints (P9)" sheetId="12" state="visible" r:id="rId14"/>
    <sheet name="12. IV. Employees (Sec A)" sheetId="13" state="visible" r:id="rId15"/>
    <sheet name="13. Openness of Business (P1)" sheetId="14" state="visible" r:id="rId16"/>
    <sheet name="14. Input Sourcing &amp; Jobs (P8)" sheetId="15" state="visible" r:id="rId17"/>
    <sheet name="15. Summary &amp; Rank"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<sst xmlns="http://schemas.openxmlformats.org/spreadsheetml/2006/main" count="2521" uniqueCount="1023">
  <si>
    <t xml:space="preserve">BRSR Comparison — Axis, HDFC, ICICI, SBI &amp; Shriram Finance (SFL) | Principles 1, 5, 6, 8, 9 + Section A (Employees)</t>
  </si>
  <si>
    <t xml:space="preserve">FY23, FY24, FY25</t>
  </si>
  <si>
    <t xml:space="preserve">This workbook tabulates every quantitative and qualitative data point disclosed under the following sections of each entity's Business Responsibility and Sustainability Report (BRSR):</t>
  </si>
  <si>
    <t xml:space="preserve"> • Principle 1, Essential Indicator 9 — Openness of Business (concentration of purchases/sales with trading houses, dealers &amp; related parties)</t>
  </si>
  <si>
    <t xml:space="preserve"> • Section A, IV. Employees — headcount, differently-abled employees, women representation, employee turnover</t>
  </si>
  <si>
    <t xml:space="preserve"> • Principle 5 — Businesses should respect and promote human rights</t>
  </si>
  <si>
    <t xml:space="preserve"> • Principle 6 — Businesses should respect and make efforts to protect and restore the environment</t>
  </si>
  <si>
    <t xml:space="preserve"> • Principle 8, Essential Indicators 4-5 — % of input material sourced from suppliers (MSMEs/India) and job creation in smaller towns (wages by location)</t>
  </si>
  <si>
    <t xml:space="preserve"> • Principle 9 — Businesses should engage with and provide value to their consumers in a responsible manner (Number of consumer complaints table only)</t>
  </si>
  <si>
    <t xml:space="preserve">Source files:</t>
  </si>
  <si>
    <t xml:space="preserve"> • Axis Bank: Axis_Bank_BRSR_2024.pdf (FY24 report) and Axis_Bank_BRSR_2025.pdf (FY25 report)</t>
  </si>
  <si>
    <t xml:space="preserve"> • HDFC Bank: HDFC_BRSR_FY24.pdf and HDFC_BRSR_FY25.pdf</t>
  </si>
  <si>
    <t xml:space="preserve"> • ICICI Bank: ICICI_Bank_BRSR_2024.pdf and ICICI_Bank_BRSR_2025.pdf</t>
  </si>
  <si>
    <t xml:space="preserve"> • State Bank of India (SBI): Sustainability_Report_2023-2024.pdf and Sustainability_Report_FY_2024-25.pdf</t>
  </si>
  <si>
    <t xml:space="preserve"> • Shriram Finance Limited (SFL) — an NBFC, not a bank: SFL-Business-Responsibility-Sustainability-Report-2024.pdf (FY24 report) and SFL-Business-Responsibility-Sustainability-Report-2025.pdf (FY25 report)</t>
  </si>
  <si>
    <t xml:space="preserve">How FY23 / FY24 / FY25 were sourced:</t>
  </si>
  <si>
    <t xml:space="preserve"> • FY23 figures come only from each entity's FY24 report's prior-year column (no FY23-specific report was provided for any entity).</t>
  </si>
  <si>
    <t xml:space="preserve"> • FY24 figures are taken from the FY24 report's current-year column, cross-checked against the FY25 report's prior-year column.</t>
  </si>
  <si>
    <t xml:space="preserve"> • FY25 figures come from the FY25 report's current-year column.</t>
  </si>
  <si>
    <t xml:space="preserve"> • Where an entity's two reports show DIFFERENT values for the same FY24 (restated methodology, revised PPP conversion factor, reclassified complaint categories, etc.), BOTH figures are shown and flagged in the yellow Notes column/cells.</t>
  </si>
  <si>
    <t xml:space="preserve"> • Some disclosures are current-year-only (or current-plus-prior-year-only) in the BRSR format for ALL entities, meaning a report shows fewer than 3 years of data for them. This applies to Section A employee and differently-abled headcounts and Board/KMP composition; several Principle 5 items such as median remuneration, annual assessments percentages, and some Leadership Indicators. For these, missing years are shown as Not available because no earlier-vintage BRSR report exists in the source set, not because the entity failed to disclose it.</t>
  </si>
  <si>
    <t xml:space="preserve">SFL-specific notes (important — read before using SFL figures):</t>
  </si>
  <si>
    <t xml:space="preserve"> • SFL is a Non-Banking Financial Company (NBFC), not a bank — its business (vehicle/gold/personal-loan financing) differs structurally from Axis/HDFC/ICICI/SBI, so absolute scale and several disclosures (e.g. 'no workers', 'no physical products') differ for genuine business-model reasons, not data quality.</t>
  </si>
  <si>
    <t xml:space="preserve"> • SFL adopted new SEBI Industry Standards Forum guidance (per SEBI circular dated 20 December 2024) partway through the period covered by this workbook. This caused MATERIAL restatements of FY24 figures between SFL's FY24 report and FY25 report, well beyond what's seen for any bank in this workbook. The largest: Openness-of-Business RPT-Purchases share for FY24 moved from 0% to 30.44%; RPT-Investments from 0.12% to 14.77%; Input-material 'Directly from within India' from 22% to 94.10%; and the Job-creation-by-location mix shifted substantially across all four location bands. Both the original and restated FY24 figures are shown side by side wherever this occurs, clearly flagged — treat SFL's FY24 trend data with real caution as a result.</t>
  </si>
  <si>
    <t xml:space="preserve"> • SFL's PPP-adjusted intensity figures (Energy, Water, Scope 1+2 GHG, Waste) show a separate, apparently unrelated anomaly: the FY25 report's PPP-adjusted figures are roughly 70x larger than the FY24 report's for the same FY24 period, in the opposite direction a PPP adjustment normally moves values. This looks like a computational inconsistency in SFL's own disclosures rather than a deliberate restatement — flagged wherever it appears.</t>
  </si>
  <si>
    <t xml:space="preserve"> • SFL discloses its Employee Turnover Rate two different ways in every report: a 'BRSR guidelines' calculation (used in this workbook, for consistency with what the format expects) and a materially lower 'Company's internal guidelines' calculation — noted where relevant.</t>
  </si>
  <si>
    <t xml:space="preserve">Sheets in this workbook:</t>
  </si>
  <si>
    <t xml:space="preserve"> Principle 1 (Ethical Conduct):</t>
  </si>
  <si>
    <t xml:space="preserve">  13. Openness of Business — concentration of purchases/sales with trading houses &amp; dealers; related-party transaction shares</t>
  </si>
  <si>
    <t xml:space="preserve"> Section A (General Disclosures):</t>
  </si>
  <si>
    <t xml:space="preserve">  12. IV. Employees — headcount, differently-abled employees, Board/KMP female representation, employee turnover rate</t>
  </si>
  <si>
    <t xml:space="preserve"> Principle 5 (Human Rights):</t>
  </si>
  <si>
    <t xml:space="preserve">  1. HR Training &amp; Wages — training coverage, minimum-wage compliance, median remuneration, gross wages to females</t>
  </si>
  <si>
    <t xml:space="preserve">  2. HR Complaints &amp; POSH — complaints by category (filed/pending) and Sexual Harassment (POSH Act) disclosures</t>
  </si>
  <si>
    <t xml:space="preserve">  3. HR Other Disclosures — focal point, grievance mechanisms, contracts, assessments %, accessibility, value chain</t>
  </si>
  <si>
    <t xml:space="preserve"> Principle 6 (Environment):</t>
  </si>
  <si>
    <t xml:space="preserve">  4. Energy Consumption</t>
  </si>
  <si>
    <t xml:space="preserve">  5. Water</t>
  </si>
  <si>
    <t xml:space="preserve">  6. Air Emissions &amp; GHG (Scope 1 &amp; 2)</t>
  </si>
  <si>
    <t xml:space="preserve">  7. GHG Scope 3 &amp; Biodiversity</t>
  </si>
  <si>
    <t xml:space="preserve">  8. Waste Management</t>
  </si>
  <si>
    <t xml:space="preserve">  9. Other Disclosures (EIA, compliance, BCP, value chain, green credits)</t>
  </si>
  <si>
    <t xml:space="preserve">  10. GHG Initiatives (narrative) — full initiative descriptions per entity/year</t>
  </si>
  <si>
    <t xml:space="preserve"> Principle 8 (Inclusive Growth):</t>
  </si>
  <si>
    <t xml:space="preserve">  14. Input Sourcing &amp; Jobs — % input material from MSMEs/India (Table 4); job creation in smaller towns by location (Table 5)</t>
  </si>
  <si>
    <t xml:space="preserve"> Principle 9 (Consumer Complaints):</t>
  </si>
  <si>
    <t xml:space="preserve">  11. Consumer Complaints — number of consumer complaints received/pending, by category</t>
  </si>
  <si>
    <t xml:space="preserve">Colour key: light blue = Axis, light orange = HDFC, light green = ICICI, light purple = SBI, light pink = SFL. Yellow cells are notes/flags, not data.</t>
  </si>
  <si>
    <t xml:space="preserve">All figures are transcribed as reported by each entity in its native units; unit is stated in column B of each table (or in the note) where applicable. No cross-entity unit conversions were performed except converting Axis Bank's FY23 energy figures from TJ to GJ (times 1,000) to align with the GJ units used elsewhere in the Energy table.</t>
  </si>
  <si>
    <t xml:space="preserve">NEW: Sheet 15 — Summary &amp; Rank</t>
  </si>
  <si>
    <t xml:space="preserve">  A one-page scorecard comparing all 5 entities on FY25 across 11 metrics spanning Environment, Social and Governance, with</t>
  </si>
  <si>
    <t xml:space="preserve">  a combined rank order (all 5 entities) and a banks-only rank order (Axis/HDFC/ICICI/SBI, excluding SFL) for a stricter</t>
  </si>
  <si>
    <t xml:space="preserve">  like-for-like view. Full methodology, scoring rationale and caveats are documented at the top of that sheet.</t>
  </si>
  <si>
    <t xml:space="preserve">Principle 5, Essential Indicators 1-3 — Human Rights Training, Minimum Wages, Remuneration</t>
  </si>
  <si>
    <t xml:space="preserve">Metric</t>
  </si>
  <si>
    <t xml:space="preserve">Unit</t>
  </si>
  <si>
    <t xml:space="preserve">Axis FY23</t>
  </si>
  <si>
    <t xml:space="preserve">Axis FY24</t>
  </si>
  <si>
    <t xml:space="preserve">Axis FY25</t>
  </si>
  <si>
    <t xml:space="preserve">HDFC FY23</t>
  </si>
  <si>
    <t xml:space="preserve">HDFC FY24</t>
  </si>
  <si>
    <t xml:space="preserve">HDFC FY25</t>
  </si>
  <si>
    <t xml:space="preserve">ICICI FY23</t>
  </si>
  <si>
    <t xml:space="preserve">ICICI FY24</t>
  </si>
  <si>
    <t xml:space="preserve">ICICI FY25</t>
  </si>
  <si>
    <t xml:space="preserve">SBI FY23</t>
  </si>
  <si>
    <t xml:space="preserve">SBI FY24</t>
  </si>
  <si>
    <t xml:space="preserve">SBI FY25</t>
  </si>
  <si>
    <t xml:space="preserve">SFL FY23</t>
  </si>
  <si>
    <t xml:space="preserve">SFL FY24</t>
  </si>
  <si>
    <t xml:space="preserve">SFL FY25</t>
  </si>
  <si>
    <t xml:space="preserve">Total employees — base for HR training (A)</t>
  </si>
  <si>
    <t xml:space="preserve">Number</t>
  </si>
  <si>
    <t xml:space="preserve">Employees covered by HR training (B)</t>
  </si>
  <si>
    <t xml:space="preserve">% of employees covered by HR training (B/A)</t>
  </si>
  <si>
    <t xml:space="preserve">%</t>
  </si>
  <si>
    <t xml:space="preserve">100%</t>
  </si>
  <si>
    <t xml:space="preserve">90.6%</t>
  </si>
  <si>
    <t xml:space="preserve">74%</t>
  </si>
  <si>
    <t xml:space="preserve">90%</t>
  </si>
  <si>
    <t xml:space="preserve">95%</t>
  </si>
  <si>
    <t xml:space="preserve">99.85%</t>
  </si>
  <si>
    <t xml:space="preserve">99.83%</t>
  </si>
  <si>
    <t xml:space="preserve">79.63%</t>
  </si>
  <si>
    <t xml:space="preserve">10%</t>
  </si>
  <si>
    <t xml:space="preserve">17%</t>
  </si>
  <si>
    <t xml:space="preserve">9.47%</t>
  </si>
  <si>
    <t xml:space="preserve">41.50%</t>
  </si>
  <si>
    <t xml:space="preserve">94.60%</t>
  </si>
  <si>
    <t xml:space="preserve">97.03%</t>
  </si>
  <si>
    <t xml:space="preserve">Axis FY25: permanent-employee completion was 89.66% of total base but 99.06% if only 'eligible' employees are considered (bank's own footnote).</t>
  </si>
  <si>
    <t xml:space="preserve">Workers covered by HR training</t>
  </si>
  <si>
    <t xml:space="preserve">Number / %</t>
  </si>
  <si>
    <t xml:space="preserve">N.A.</t>
  </si>
  <si>
    <t xml:space="preserve">Not disclosed (workers category not reported)</t>
  </si>
  <si>
    <t xml:space="preserve">Not disclosed</t>
  </si>
  <si>
    <t xml:space="preserve">NA</t>
  </si>
  <si>
    <t xml:space="preserve">Minimum wage compliance — Permanent employees</t>
  </si>
  <si>
    <t xml:space="preserve">Narrative only — Bank states full compliance with Indian labour law minimum-wage rules; no numeric breakdown given</t>
  </si>
  <si>
    <t xml:space="preserve">Narrative only — same as FY23</t>
  </si>
  <si>
    <t xml:space="preserve">Narrative only — same as FY23/FY24</t>
  </si>
  <si>
    <t xml:space="preserve">Total 1,73,222; 0 at minimum wage; 1,73,222 (100%) above minimum wage (Male 1,34,022 / Female 39,200, both 100% above)</t>
  </si>
  <si>
    <t xml:space="preserve">Total 2,13,527; 0 at minimum wage; 2,13,527 (100%) above minimum wage (Male 1,57,917 / Female 55,610, both 100% above)</t>
  </si>
  <si>
    <t xml:space="preserve">Total 2,14,521; 0 at minimum wage; 2,14,521 (100%) above minimum wage (Male 1,58,449 / Female 56,072, both 100% above)</t>
  </si>
  <si>
    <t xml:space="preserve">NA — minimum wages not applicable for the Bank</t>
  </si>
  <si>
    <t xml:space="preserve">Total 2,32,188; Equal to min. wage: Nil; More than min. wage: 2,32,188 (100%) (Male 1,69,635 (100%) / Female 62,553 (100%))</t>
  </si>
  <si>
    <t xml:space="preserve">Total 2,28,679; Equal to min. wage: Nil; More than min. wage: 2,28,679 (100%) (Male 1,66,261 (100%) / Female 62,418 (100%))</t>
  </si>
  <si>
    <t xml:space="preserve">Total 2,33,078; Equal to min. wage: Nil; More than min. wage: 2,33,078 (100%) (Male 1,68,176 (100%) / Female 64,902 (100%))</t>
  </si>
  <si>
    <t xml:space="preserve">Total 64,052; Male 57,276 (2,395 equal-4.18%, 54,881 more-95.82%); Female 6,776 (914 equal-13.49%, 5,862 more-86.51%)</t>
  </si>
  <si>
    <t xml:space="preserve">Total 74,645; Male 65,560 (3,218 equal-4.91%, 62,342 more-95.09%); Female 9,085 (1,243 equal-13.68%, 7,842 more-86.32%)</t>
  </si>
  <si>
    <t xml:space="preserve">Total 79,872; Male 69,258 (4,085 equal-5.90%, 65,173 more-94.10%); Female 10,614 (1,806 equal-17.02%, 8,808 more-82.98%)</t>
  </si>
  <si>
    <t xml:space="preserve">Minimum wage compliance — Other-than-permanent employees</t>
  </si>
  <si>
    <t xml:space="preserve">Total 9,132; 0 at minimum wage; 9,132 (100%) above (Male 7,931 / Female 1,201, both 100% above)</t>
  </si>
  <si>
    <t xml:space="preserve">Total 9,508; 0 at minimum wage; 9,508 (100%) above (Male 8,163 / Female 1,345, both 100% above)</t>
  </si>
  <si>
    <t xml:space="preserve">Total 9,948; 0 at minimum wage; 9,948 (100%) above (Male 8,363 / Female 1,584 / Others 1, all 100% above)</t>
  </si>
  <si>
    <t xml:space="preserve">Total 33; 0 at minimum wage; 33 (100%) above minimum wage (Male 26 / Female 7, both 100% above)</t>
  </si>
  <si>
    <t xml:space="preserve">Total 38; 0 at minimum wage; 38 (100%) above minimum wage (Male 31 / Female 7, both 100% above)</t>
  </si>
  <si>
    <t xml:space="preserve">Total 31; 0 at minimum wage; 31 (100%) above minimum wage (Male 24 / Female 7, both 100% above)</t>
  </si>
  <si>
    <t xml:space="preserve">Total 3,670; More than min. wage: 3,670 (100%) (Male 3,140 (100%) / Female 530 (100%))</t>
  </si>
  <si>
    <t xml:space="preserve">Total 3,175; More than min. wage: 3,175 (100%) (Male 2,970 (100%) / Female 205 (100%))</t>
  </si>
  <si>
    <t xml:space="preserve">Total 2,695; More than min. wage: 2,695 (100%) (Male 2,509 (100%) / Female 186 (100%))</t>
  </si>
  <si>
    <t xml:space="preserve">SBI's source table shows a minor internal inconsistency for FY23 'Other than Permanent' female count (appears as both 530 and 430 in different parts of the same table) — 530 is used here as the headline total-column figure. || SFL: SFL has no employees in the 'Other than Permanent' category in any year.</t>
  </si>
  <si>
    <t xml:space="preserve">Minimum wage compliance — Workers (permanent &amp; other)</t>
  </si>
  <si>
    <t xml:space="preserve">Median remuneration — Board of Directors</t>
  </si>
  <si>
    <t xml:space="preserve">Number &amp; ₹ median</t>
  </si>
  <si>
    <t xml:space="preserve">Not available (question is current-year-only in source reports; no FY23-specific BRSR report was provided)</t>
  </si>
  <si>
    <t xml:space="preserve">Male: 7 @ ₹20,25,000; Female: 2 @ ₹20,25,000 (NEDs, fixed remuneration only)</t>
  </si>
  <si>
    <t xml:space="preserve">Male: 9 @ ₹96,23,626; Female: 3 @ ₹64,23,626</t>
  </si>
  <si>
    <t xml:space="preserve">Male: 10 @ ₹1,23,50,000; Female: 3 @ ₹84,50,000</t>
  </si>
  <si>
    <t xml:space="preserve">Male: 7 @ ₹20,00,000; Female: 2 @ ₹20,00,000</t>
  </si>
  <si>
    <t xml:space="preserve">Male: 6 @ ₹30,00,000; Female: 2 @ ₹30,00,000</t>
  </si>
  <si>
    <t xml:space="preserve">Not available (point-in-time snapshot; no FY23-specific BRSR report was provided)</t>
  </si>
  <si>
    <t xml:space="preserve">Male: 5 (Chairman &amp; WTDs) @ ₹39,35,328; Female: 0</t>
  </si>
  <si>
    <t xml:space="preserve">Male: 5 (Chairman &amp; WTDs) @ ₹40,96,686; Female: 0</t>
  </si>
  <si>
    <t xml:space="preserve">Male: 9 @ ₹37,85,000; Female: 1 @ ₹37,15,000</t>
  </si>
  <si>
    <t xml:space="preserve">Male: 10 @ ₹36,57,500; Female: 2 @ ₹29,97,500</t>
  </si>
  <si>
    <t xml:space="preserve">Median remuneration is disclosed as a single current-year snapshot (not a 2-year comparison) by all three banks — hence no FY23 figures exist in any source report. || SBI: Median remuneration is a current-year-only snapshot in SBI's reports too (consistent with the other 3 banks) — no FY23 figure exists. || SFL: Median remuneration is a current-year-only snapshot in SFL's reports (consistent with the other banks) — no FY23 figure exists. FY25 BoD figures include two Independent Directors who ceased to be on the Board during the year.</t>
  </si>
  <si>
    <t xml:space="preserve">Median remuneration — Key Managerial Personnel (KMP)</t>
  </si>
  <si>
    <t xml:space="preserve">Male: 6 @ ₹4,32,91,715; Female: 0</t>
  </si>
  <si>
    <t xml:space="preserve">Male: 2 @ ₹2,40,87,054; Female: 0 (N.A.)</t>
  </si>
  <si>
    <t xml:space="preserve">Male: 2 @ ₹2,97,91,531; Female: 0</t>
  </si>
  <si>
    <t xml:space="preserve">Male: 5 @ ₹64,199,847; Female: 2 @ ₹7,964,165</t>
  </si>
  <si>
    <t xml:space="preserve">Male: 5 @ ₹64,521,856; Female: 1 @ ₹8,994,223</t>
  </si>
  <si>
    <t xml:space="preserve">Male: 21 @ ₹48,99,355; Female: 4 @ ₹46,19,080</t>
  </si>
  <si>
    <t xml:space="preserve">Male: 19 @ ₹61,37,099; Female: 3 @ ₹68,66,782</t>
  </si>
  <si>
    <t xml:space="preserve">Male: 4 @ ₹97,28,856; Female: 0</t>
  </si>
  <si>
    <t xml:space="preserve">Male: 4 @ ₹1,24,36,425; Female: 0</t>
  </si>
  <si>
    <t xml:space="preserve">Median remuneration — Employees other than BoD &amp; KMP</t>
  </si>
  <si>
    <t xml:space="preserve">Male: 65,781 @ ₹13,60,805; Female: 22,852 @ ₹13,72,795</t>
  </si>
  <si>
    <t xml:space="preserve">Male: 1,57,911 @ ₹5,45,697; Female: 55,610 @ ₹3,84,188</t>
  </si>
  <si>
    <t xml:space="preserve">Male: 1,58,443 @ ₹5,56,005; Female: 56,072 @ ₹3,86,345</t>
  </si>
  <si>
    <t xml:space="preserve">Male: 92,294 @ ₹694,313; Female: 43,033 @ ₹669,953</t>
  </si>
  <si>
    <t xml:space="preserve">Male: 87,391 @ ₹727,328; Female: 41,156 @ ₹659,621</t>
  </si>
  <si>
    <t xml:space="preserve">Male: 1,69,210 @ ₹10,89,052; Female: 62,619 @ ₹10,35,557</t>
  </si>
  <si>
    <t xml:space="preserve">Male: 1,70,661 @ ₹13,90,223; Female: 65,085 @ ₹12,82,962</t>
  </si>
  <si>
    <t xml:space="preserve">Male: 65,553 @ ₹3,28,056; Female: 9,085 @ ₹2,58,988</t>
  </si>
  <si>
    <t xml:space="preserve">Male: 69,251 @ ₹3,08,487; Female: 10,614 @ ₹2,29,790</t>
  </si>
  <si>
    <t xml:space="preserve">HDFC additionally breaks employees-other-than-BoD/KMP down by Senior/Middle/Junior Management and Non-Supervisory Staff — see narrative sheet if needed; not reproduced here for space.</t>
  </si>
  <si>
    <t xml:space="preserve">Median remuneration — Workers</t>
  </si>
  <si>
    <t xml:space="preserve">Gross wages paid to females as % of total wages</t>
  </si>
  <si>
    <t xml:space="preserve">20.9%</t>
  </si>
  <si>
    <t xml:space="preserve">21.85%</t>
  </si>
  <si>
    <t xml:space="preserve">19%</t>
  </si>
  <si>
    <t xml:space="preserve">20%</t>
  </si>
  <si>
    <t xml:space="preserve">25%</t>
  </si>
  <si>
    <t xml:space="preserve">24.46%</t>
  </si>
  <si>
    <t xml:space="preserve">24.66%</t>
  </si>
  <si>
    <t xml:space="preserve">25.20%</t>
  </si>
  <si>
    <t xml:space="preserve">7.75%</t>
  </si>
  <si>
    <t xml:space="preserve">8.88% [FY24 rpt] / 8.11% [FY25 rpt, restated]</t>
  </si>
  <si>
    <t xml:space="preserve">9.48%</t>
  </si>
  <si>
    <t xml:space="preserve">Axis's FY24 report disclosed only the FY24 figure (20.9%) with no FY23 comparator; the FY23 value (20.90%) shown for FY24 here and FY23 blank is per Axis's own FY25 report retrospective column. || SFL: SFL revised its calculation methodology in FY25 to align with SEBI's Industry Standards Forum guidance (per SEBI circular dated 20 Dec 2024), which materially changed several FY24 comparative figures. Both the original FY24-report figure and the restated FY25-report figure are shown.</t>
  </si>
  <si>
    <t xml:space="preserve">Independent assurance obtained (wages/remuneration)?</t>
  </si>
  <si>
    <t xml:space="preserve">Y/N, agency</t>
  </si>
  <si>
    <t xml:space="preserve">Not stated</t>
  </si>
  <si>
    <t xml:space="preserve">Yes – Price Waterhouse LLP</t>
  </si>
  <si>
    <t xml:space="preserve">Yes – SGS India Pvt. Ltd.</t>
  </si>
  <si>
    <t xml:space="preserve">Yes – M/s. Pijush Gupta &amp; Co. (Reasonable Assurance)</t>
  </si>
  <si>
    <t xml:space="preserve">Yes – Vinay and Keshava LLP (Reasonable Assurance on BRSR Core)</t>
  </si>
  <si>
    <t xml:space="preserve">Principle 5, Essential Indicators 6-7 — Complaints by Employees/Workers &amp; POSH</t>
  </si>
  <si>
    <t xml:space="preserve">Sexual Harassment — Filed during the year</t>
  </si>
  <si>
    <t xml:space="preserve">105 (revised from 43)</t>
  </si>
  <si>
    <t xml:space="preserve">ICICI restated its FY23 Sexual Harassment complaints from 43 to 105 in the FY24 report, citing alignment of disclosure to the requirement of 'complaints filed' (footnote).</t>
  </si>
  <si>
    <t xml:space="preserve">Sexual Harassment — Pending resolution at year-end</t>
  </si>
  <si>
    <t xml:space="preserve">7 (resolved in FY24)</t>
  </si>
  <si>
    <t xml:space="preserve">Nil</t>
  </si>
  <si>
    <t xml:space="preserve">Discrimination at workplace — Filed / Pending</t>
  </si>
  <si>
    <t xml:space="preserve">Nil / Nil</t>
  </si>
  <si>
    <t xml:space="preserve">0 / 0</t>
  </si>
  <si>
    <t xml:space="preserve">2 / Nil</t>
  </si>
  <si>
    <t xml:space="preserve">8 / Nil</t>
  </si>
  <si>
    <t xml:space="preserve">167 / 0</t>
  </si>
  <si>
    <t xml:space="preserve">342 / 0</t>
  </si>
  <si>
    <t xml:space="preserve">302 / 0</t>
  </si>
  <si>
    <t xml:space="preserve">Child labour — Filed / Pending</t>
  </si>
  <si>
    <t xml:space="preserve">Forced Labour / Involuntary Labour — Filed / Pending</t>
  </si>
  <si>
    <t xml:space="preserve">0 / 0 (reported as 'Nil')</t>
  </si>
  <si>
    <t xml:space="preserve">Wages — Filed / Pending</t>
  </si>
  <si>
    <t xml:space="preserve">584 / 0</t>
  </si>
  <si>
    <t xml:space="preserve">685 / 0</t>
  </si>
  <si>
    <t xml:space="preserve">432 / 0</t>
  </si>
  <si>
    <t xml:space="preserve">Other human rights related issues — Filed / Pending</t>
  </si>
  <si>
    <t xml:space="preserve">Not reported as a separate category</t>
  </si>
  <si>
    <t xml:space="preserve">Axis Bank's FY24 report presented Discrimination/Child Labour/Forced Labour/Wages/Other as merged 'Nil' cells without a per-year split for FY23-24; both years shown as Nil accordingly. || SBI: SBI's complaints table has only 5 rows (Sexual Harassment, Discrimination, Child Labour, Forced/Involuntary Labour, Wages) — it does not include a separate 'Other human rights related issues' row like the other 3 banks.</t>
  </si>
  <si>
    <t xml:space="preserve">PoSH — Total complaints reported (Sexual Harassment Act, 2013)</t>
  </si>
  <si>
    <t xml:space="preserve">PoSH — Complaints as % of female employees/workers</t>
  </si>
  <si>
    <t xml:space="preserve">0.14%</t>
  </si>
  <si>
    <t xml:space="preserve">0.13%</t>
  </si>
  <si>
    <t xml:space="preserve">0.18%</t>
  </si>
  <si>
    <t xml:space="preserve">0.17%</t>
  </si>
  <si>
    <t xml:space="preserve">0.14% [FY24 rpt] / 0.16% [FY25 rpt, revised]</t>
  </si>
  <si>
    <t xml:space="preserve">0.19%</t>
  </si>
  <si>
    <t xml:space="preserve">0.24%</t>
  </si>
  <si>
    <t xml:space="preserve">0.27%</t>
  </si>
  <si>
    <t xml:space="preserve">0.07%</t>
  </si>
  <si>
    <t xml:space="preserve">0.056%</t>
  </si>
  <si>
    <t xml:space="preserve">0%</t>
  </si>
  <si>
    <t xml:space="preserve">0.04%</t>
  </si>
  <si>
    <t xml:space="preserve">HDFC's FY25 report revised the FY24 PoSH % (footnoted 'previous year's number has been revised') to reflect average, rather than year-end, female headcount per SEBI Industry Standards Forum guidance.</t>
  </si>
  <si>
    <t xml:space="preserve">PoSH — Complaints upheld</t>
  </si>
  <si>
    <t xml:space="preserve">Independent assurance obtained (complaints/PoSH)?</t>
  </si>
  <si>
    <t xml:space="preserve">Not stated separately</t>
  </si>
  <si>
    <t xml:space="preserve">Yes – M/s. Pijush Gupta &amp; Co.</t>
  </si>
  <si>
    <t xml:space="preserve">Yes – Vinay and Keshava LLP</t>
  </si>
  <si>
    <t xml:space="preserve">Essential Ind. 4-5, 8-11 &amp; Leadership Ind. 1-5 — Focal Point, Grievance Mechanism, Assessments, Accessibility, Value Chain</t>
  </si>
  <si>
    <t xml:space="preserve">Focal point for human rights impacts? (Ess. Ind.4)</t>
  </si>
  <si>
    <t xml:space="preserve">Y/N</t>
  </si>
  <si>
    <t xml:space="preserve">Yes – ESG Committee of the Board &amp; DEI Council</t>
  </si>
  <si>
    <t xml:space="preserve">Yes – Sustainability and Inclusion Council, reporting to ESG Steering Committee</t>
  </si>
  <si>
    <t xml:space="preserve">Yes – refer Section B of BRSR</t>
  </si>
  <si>
    <t xml:space="preserve">Yes</t>
  </si>
  <si>
    <t xml:space="preserve">Yes – Bank has different committees to address human rights impact and grievances</t>
  </si>
  <si>
    <t xml:space="preserve">Yes (implied, same policy)</t>
  </si>
  <si>
    <t xml:space="preserve">Internal grievance redressal mechanism (Ess. Ind.5)</t>
  </si>
  <si>
    <t xml:space="preserve">Text summary</t>
  </si>
  <si>
    <t xml:space="preserve">Human Rights Policy + Whistleblower Policy + H-Response employee portal + Internal Complaints Committee (POSH)</t>
  </si>
  <si>
    <t xml:space="preserve">Same as FY23</t>
  </si>
  <si>
    <t xml:space="preserve">Same mechanisms; FY25 report additionally references upholding employees' freedom of association</t>
  </si>
  <si>
    <t xml:space="preserve">Conduct philosophy prohibiting child/forced/compulsory labour; zero-tolerance sexual-harassment policy; Internal Complaints Committee; whistleblower mechanism</t>
  </si>
  <si>
    <t xml:space="preserve">Same as FY23/FY24</t>
  </si>
  <si>
    <t xml:space="preserve">Group Code of Business Conduct &amp; Ethics; Whistleblower Policy; Policy against Sexual Harassment; Human Rights Policy (aligned to UNGP &amp; ILO); Diversity, Equity &amp; Inclusion Policy</t>
  </si>
  <si>
    <t xml:space="preserve">Same policies; Human Rights Policy scope clarified to cover Safe &amp; Harassment-Free Workplace, Freedom of Expression, Freedom from Child/Forced Labour</t>
  </si>
  <si>
    <t xml:space="preserve">Sanjeevani staff-grievance platform; Garima Policy (POSH); Whistleblower Policy; IGRC for SC/ST employees</t>
  </si>
  <si>
    <t xml:space="preserve">Same as FY23 — Sanjeevani portal, Garima Policy, Whistleblower Policy, IGRC for SC/ST</t>
  </si>
  <si>
    <t xml:space="preserve">Same mechanisms; additionally designated Chief Liaison Officers (CLOs) for SC/ST/PWD/EWS/OBC categories</t>
  </si>
  <si>
    <t xml:space="preserve">State-wise Internal Complaints Committees (ICC) per POSH Act 2013</t>
  </si>
  <si>
    <t xml:space="preserve">State-wise ICCs (presiding officer + 3 internal members + 1 external member); complaints resolved within 30 days</t>
  </si>
  <si>
    <t xml:space="preserve">Same ICC structure; all other grievances managed via dedicated employee portal overseen by Head of HR</t>
  </si>
  <si>
    <t xml:space="preserve">Human rights requirements in business agreements/contracts? (Ess. Ind.9)</t>
  </si>
  <si>
    <t xml:space="preserve">Yes – vendor evaluation incl. social/environmental criteria; Supplier Code of Conduct sign-off; ESG lending policy with E&amp;S due diligence</t>
  </si>
  <si>
    <t xml:space="preserve">Yes – same as FY23</t>
  </si>
  <si>
    <t xml:space="preserve">Yes – same, plus explicit reference to UN Universal Declaration of Human Rights</t>
  </si>
  <si>
    <t xml:space="preserve">Yes – ESG Risk Mgmt Policy; enhanced E&amp;S due diligence above lending threshold; vendors expected to comply with child/forced/trafficked-labour laws</t>
  </si>
  <si>
    <t xml:space="preserve">Yes – same, ESG Risk Management Framework</t>
  </si>
  <si>
    <t xml:space="preserve">Yes – policies/practices comply with human rights requirements incl. labour laws and POSH Act; confirmations obtained from significant service providers</t>
  </si>
  <si>
    <t xml:space="preserve">Yes – same as FY23/FY24</t>
  </si>
  <si>
    <t xml:space="preserve">Yes — Board-approved Code of Ethics expects employees to respect human rights across the value chain</t>
  </si>
  <si>
    <t xml:space="preserve">Yes — same Code of Ethics framework</t>
  </si>
  <si>
    <t xml:space="preserve">Yes — same, plus outsourcing policy mandates labour-law compliance (pension, gratuity, PF, minimum wages) by service providers</t>
  </si>
  <si>
    <t xml:space="preserve">Yes (implied)</t>
  </si>
  <si>
    <t xml:space="preserve">Assessments — % of plants/offices assessed: Child labour</t>
  </si>
  <si>
    <t xml:space="preserve">NIL</t>
  </si>
  <si>
    <t xml:space="preserve">Assessments — % of plants/offices assessed: Forced/Involuntary labour</t>
  </si>
  <si>
    <t xml:space="preserve">Assessments — % of plants/offices assessed: Sexual harassment</t>
  </si>
  <si>
    <t xml:space="preserve">Assessments — % of plants/offices assessed: Discrimination at workplace</t>
  </si>
  <si>
    <t xml:space="preserve">Assessments — % of plants/offices assessed: Wages</t>
  </si>
  <si>
    <t xml:space="preserve">Assessments — % of plants/offices assessed: Others (by statutory authorities)</t>
  </si>
  <si>
    <t xml:space="preserve">0.47%</t>
  </si>
  <si>
    <t xml:space="preserve">5%</t>
  </si>
  <si>
    <t xml:space="preserve">Not applicable (row not itemised as 'Others' in SBI's table)</t>
  </si>
  <si>
    <t xml:space="preserve">0% (Others category)</t>
  </si>
  <si>
    <t xml:space="preserve">These 'Assessments for the year' questions are current-year-only disclosures in all three banks' BRSR formats, so no FY23 figure exists for ICICI's 'Others' row either.</t>
  </si>
  <si>
    <t xml:space="preserve">Corrective actions from Q10 assessments (Ess. Ind.11)</t>
  </si>
  <si>
    <t xml:space="preserve">Text</t>
  </si>
  <si>
    <t xml:space="preserve">Not Applicable (Bank cites POSH-prevention steps in Directors' Report)</t>
  </si>
  <si>
    <t xml:space="preserve">Not Applicable (same)</t>
  </si>
  <si>
    <t xml:space="preserve">Not Applicable</t>
  </si>
  <si>
    <t xml:space="preserve">NA — no such cases</t>
  </si>
  <si>
    <t xml:space="preserve">Business process modified due to HR grievances? (Leadership Ind.1)</t>
  </si>
  <si>
    <t xml:space="preserve">None</t>
  </si>
  <si>
    <t xml:space="preserve">Internal 'Ethical Audit' conducted covering Code of Ethics, Anti-Bribery &amp; Anti-Corruption, Conflict of Interest, Whistle Blower and Garima policies</t>
  </si>
  <si>
    <t xml:space="preserve">Ethical Audit findings actioned; 'Reinforcing Garima' dignity-at-work initiative launched; 13 workshops on GoI reservation policy trained 731 employees; 'Abhyuday 2.0' engagement survey conducted</t>
  </si>
  <si>
    <t xml:space="preserve">POSH training made a mandatory component of all employee training programs</t>
  </si>
  <si>
    <t xml:space="preserve">Same — POSH awareness mandatory across all training programs</t>
  </si>
  <si>
    <t xml:space="preserve">Scope/coverage of human rights due diligence (Leadership Ind.2)</t>
  </si>
  <si>
    <t xml:space="preserve">ESG Policy for Lending — integrates E&amp;S risk incl. human rights protection in credit appraisal</t>
  </si>
  <si>
    <t xml:space="preserve">Same ESG Policy for Lending</t>
  </si>
  <si>
    <t xml:space="preserve">ESG rating system for borrowers (integrated with CRA rating at sanction); applies to exposures &gt;₹100cr (listed) / &gt;₹250cr (unlisted) borrowers</t>
  </si>
  <si>
    <t xml:space="preserve">Same ESG/CRA framework; in FY25 National Commission for STs/Backward Classes and Parliamentary Committees reviewed SBI's reservation-policy implementation and expressed satisfaction</t>
  </si>
  <si>
    <t xml:space="preserve">Not disclosed (this Leadership Indicator not included in FY24 report's format)</t>
  </si>
  <si>
    <t xml:space="preserve">HRMS Portal mechanism to track and address HR-related queries/grievances raised by employees, accessible to all employees</t>
  </si>
  <si>
    <t xml:space="preserve">SFL: SFL's FY25 report added several Leadership Indicators (HR due diligence scope, value chain assessment %, corrective actions re value chain) that were not present in the FY24 report's Principle 5 section.</t>
  </si>
  <si>
    <t xml:space="preserve">Premises accessible to differently abled? (Leadership Ind.3)</t>
  </si>
  <si>
    <t xml:space="preserve">112 persons with disabilities employed under 'ACCESS' hiring program; inclusive-restroom signage with braille in large offices</t>
  </si>
  <si>
    <t xml:space="preserve">Braille &amp; voice-guided ATMs; ramps at branches where feasible; doorstep banking for seniors/disabled</t>
  </si>
  <si>
    <t xml:space="preserve">2,027 branches have ramps; ground-floor/elevator access; voice-guided ATMs with Braille keypads; doorstep banking</t>
  </si>
  <si>
    <t xml:space="preserve">2,044 branches have ramps; same other facilities as FY24</t>
  </si>
  <si>
    <t xml:space="preserve">Yes – ramps at business centres where feasible; braille lift pads; accessible washrooms; wheelchairs/stretchers at large offices</t>
  </si>
  <si>
    <t xml:space="preserve">Yes – same as FY24</t>
  </si>
  <si>
    <t xml:space="preserve">Ramps at 14,813 branches; not required at 4,887 (ground level); portable ramps at 279; Divyangjan Cell/nearby branch support at 588; doorstep banking at 1,080 centres</t>
  </si>
  <si>
    <t xml:space="preserve">92% of branches accessible to Divyangjans; wheelchairs at ~4,753 branches (87.86% via ramp, 4.15% via alternate solutions); doorstep banking incl. 3 free transactions/month for Divyangjans</t>
  </si>
  <si>
    <t xml:space="preserve">Yes — committed to fully adhering to Persons with Disabilities Act 2016 by continuously upgrading facilities</t>
  </si>
  <si>
    <t xml:space="preserve">Yes — same commitment, facilities accessible wherever differently-abled employees are engaged</t>
  </si>
  <si>
    <t xml:space="preserve">Value chain partners assessed for HR impacts (Leadership Ind.4)</t>
  </si>
  <si>
    <t xml:space="preserve">Nil (all categories)</t>
  </si>
  <si>
    <t xml:space="preserve">Not yet formally assessed; Bank in process of evaluating ESG parameters across value chain</t>
  </si>
  <si>
    <t xml:space="preserve">'-' (not aggregated); enabling clauses in master agreements on labour law adherence; ESG/Climate assessments cover certain wholesale borrowers</t>
  </si>
  <si>
    <t xml:space="preserve">Nil (not aggregated); same enabling-clause approach as FY24</t>
  </si>
  <si>
    <t xml:space="preserve">'-' (not aggregated); Facilities team periodically assesses value chain partners on ESG parameters</t>
  </si>
  <si>
    <t xml:space="preserve">NA (all categories); declaration sought from 185 value chain partners during FY2025</t>
  </si>
  <si>
    <t xml:space="preserve">NIL (all categories)</t>
  </si>
  <si>
    <t xml:space="preserve">Not disclosed (not in FY24 report's format)</t>
  </si>
  <si>
    <t xml:space="preserve">0% across all categories (Sexual Harassment, Discrimination, Child Labour, Forced Labour, Wages, Others) — due diligence process for value chain partners still in development</t>
  </si>
  <si>
    <t xml:space="preserve">Corrective actions re value chain assessments (Leadership Ind.5)</t>
  </si>
  <si>
    <t xml:space="preserve">No significant risks/concerns identified during the year; no corrective actions required</t>
  </si>
  <si>
    <t xml:space="preserve">Essential Indicator 1 — Total Energy Consumption &amp; Intensity</t>
  </si>
  <si>
    <t xml:space="preserve">Total electricity consumption from renewable sources (A)</t>
  </si>
  <si>
    <t xml:space="preserve">GJ</t>
  </si>
  <si>
    <t xml:space="preserve">Total fuel consumption from renewable sources (B)</t>
  </si>
  <si>
    <t xml:space="preserve">Energy consumption through other renewable sources (C)</t>
  </si>
  <si>
    <t xml:space="preserve">Total energy consumed from renewable sources (A+B+C)</t>
  </si>
  <si>
    <t xml:space="preserve">Total electricity consumption from non-renewable sources (D)</t>
  </si>
  <si>
    <t xml:space="preserve">Total fuel consumption from non-renewable sources (E)</t>
  </si>
  <si>
    <t xml:space="preserve">Energy consumption through other non-renewable sources (F)</t>
  </si>
  <si>
    <t xml:space="preserve">Total energy consumed from non-renewable sources (D+E+F)</t>
  </si>
  <si>
    <t xml:space="preserve">TOTAL ENERGY CONSUMED (A+B+C+D+E+F)</t>
  </si>
  <si>
    <t xml:space="preserve">Energy intensity per rupee of turnover</t>
  </si>
  <si>
    <t xml:space="preserve">Axis: GJ/₹ (see note); HDFC &amp; ICICI: GJ/₹ crore</t>
  </si>
  <si>
    <t xml:space="preserve">Axis reports this per rupee of turnover (Joules/Rupee in source, converted here to GJ/Rupee); HDFC &amp; ICICI report per ₹ crore of turnover — units are NOT comparable across banks. || SBI: SBI reports intensity per ₹ crore of domestic-operations revenue (not per rupee or per ₹ crore total revenue like the other banks) — units are not directly comparable. || SFL: SFL reports per rupee of revenue from operations (not per ₹ crore) — extremely small values; not directly comparable to other banks' per-₹-crore intensity figures.</t>
  </si>
  <si>
    <t xml:space="preserve">Energy intensity adjusted for PPP</t>
  </si>
  <si>
    <t xml:space="preserve">Axis: GJ/₹ adj.PPP; HDFC: GJ/USD mn adj.PPP; ICICI: GJ/₹cr adj.PPP</t>
  </si>
  <si>
    <t xml:space="preserve">Not Available</t>
  </si>
  <si>
    <t xml:space="preserve">11.7 (likely same defect as FY24 — see note)</t>
  </si>
  <si>
    <t xml:space="preserve">9.28 [FY24 rpt, unadjusted] / 17.35 [FY25 rpt, recalculated]</t>
  </si>
  <si>
    <t xml:space="preserve">0.000000131 [FY24 rpt] / 0.0000090747 [FY25 rpt]</t>
  </si>
  <si>
    <t xml:space="preserve">HDFC FY24 report used a ₹22.88/USD (OECD) PPP factor; HDFC FY25 report restates FY24 using ₹20.66/USD (IMF) — FY25 report shows FY24 PPP-adj. intensity as 20.39 instead of 22.58. Value shown here is as originally reported in the FY24 report. || SBI: SBI's FY24 report's PPP-adjusted intensity figures were, per SBI's own FY25 report admission, erroneously reported identical to the non-PPP-adjusted figures (i.e. no PPP conversion was actually applied in the FY24 report). SBI's FY25 report recalculates FY24 correctly. Both the original (unadjusted) FY24-report figure and the corrected FY25-report figure are shown; the same defect likely affects SBI's FY23 PPP figures too, since they come from the same FY24 report. || SFL: SFL's PPP-adjusted intensity figures show a large, unexplained divergence between the FY24 report and FY25 report for the same FY24 period (the FY25 report's PPP-adjusted figure is roughly 70x the FY24 report's original figure, moving in the opposite direction from what a PPP adjustment would normally produce). This looks like a computational inconsistency in SFL's own disclosures rather than a deliberate restatement; both values are shown as reported.</t>
  </si>
  <si>
    <t xml:space="preserve">Energy intensity in terms of physical output</t>
  </si>
  <si>
    <t xml:space="preserve">GJ/FTE or GJ/Employee</t>
  </si>
  <si>
    <t xml:space="preserve">Independent assurance obtained (Essential Ind. 1)?</t>
  </si>
  <si>
    <t xml:space="preserve">Yes – DNV Business Assurance India</t>
  </si>
  <si>
    <t xml:space="preserve">Yes – Grant Thornton Bharat LLP</t>
  </si>
  <si>
    <t xml:space="preserve">Yes – Talati and Talati LLP (Statutory Central Auditor, BRSR Core assurance)</t>
  </si>
  <si>
    <t xml:space="preserve">Yes – Rama K Gupta &amp; Co. (Statutory Central Auditor, BRSR Core assurance)</t>
  </si>
  <si>
    <t xml:space="preserve">Designated Consumer (PAT Scheme) site? (Ess. Ind. 2)</t>
  </si>
  <si>
    <t xml:space="preserve">No</t>
  </si>
  <si>
    <t xml:space="preserve">NA — not applicable given nature of business</t>
  </si>
  <si>
    <t xml:space="preserve">Essential Indicators 3-5 &amp; Leadership Indicator 1 — Water Withdrawal, Consumption, Discharge</t>
  </si>
  <si>
    <t xml:space="preserve">Water withdrawal — Surface water</t>
  </si>
  <si>
    <t xml:space="preserve">kilolitres</t>
  </si>
  <si>
    <t xml:space="preserve">Not Available (-*)</t>
  </si>
  <si>
    <t xml:space="preserve">–</t>
  </si>
  <si>
    <t xml:space="preserve">– (none)</t>
  </si>
  <si>
    <t xml:space="preserve">Water withdrawal — Groundwater</t>
  </si>
  <si>
    <t xml:space="preserve">SBI's groundwater withdrawal dropped to nil in FY25 (from 1,62,324 KL in FY24) — all withdrawal now via third-party sources.</t>
  </si>
  <si>
    <t xml:space="preserve">Water withdrawal — Third party water</t>
  </si>
  <si>
    <t xml:space="preserve">Water withdrawal — Seawater/desalinated</t>
  </si>
  <si>
    <t xml:space="preserve">Water withdrawal — Others</t>
  </si>
  <si>
    <t xml:space="preserve">TOTAL water withdrawal</t>
  </si>
  <si>
    <t xml:space="preserve">kilolitres/year</t>
  </si>
  <si>
    <t xml:space="preserve">Axis data reported for 9 offices only. ICICI FY24 data reported for 32 premises (extrapolated); FY23 for only 15 large towers; FY25 per CGWA guidance.</t>
  </si>
  <si>
    <t xml:space="preserve">TOTAL water consumption</t>
  </si>
  <si>
    <t xml:space="preserve">SBI changed its water-consumption methodology in FY25: previously consumption was reported equal to withdrawal (45 L/head/day); FY25 uses CGWA's more granular 25 L/head/day (domestic) + 20 L/head/day (flushing) basis, producing a materially lower consumption figure that is no longer equal to withdrawal. || SFL: SFL estimates water consumption based on 45 litres/person/day (312 days), per CGWA guidelines, and treats withdrawal = consumption = discharge (100% assumption).</t>
  </si>
  <si>
    <t xml:space="preserve">Water intensity per rupee of turnover</t>
  </si>
  <si>
    <t xml:space="preserve">Axis: Litre/₹; HDFC: KL/₹cr; ICICI: KL/₹cr</t>
  </si>
  <si>
    <t xml:space="preserve">Units differ across banks — not directly comparable. || SBI: SBI reports per ₹ crore of domestic-operations revenue — not directly comparable to other banks' units. || SFL: SFL reports per rupee of revenue from operations — not directly comparable to other banks' per-₹-crore figures.</t>
  </si>
  <si>
    <t xml:space="preserve">Water intensity adjusted for PPP</t>
  </si>
  <si>
    <t xml:space="preserve">Axis: Litre/₹ adj.PPP; HDFC: KL/USDmn adj.PPP; ICICI: KL/₹cr adj.PPP</t>
  </si>
  <si>
    <t xml:space="preserve">8.03 (likely same defect as FY24 — see note)</t>
  </si>
  <si>
    <t xml:space="preserve">6.55 [FY24 rpt, unadjusted] / 12.24 [FY25 rpt, recalculated]</t>
  </si>
  <si>
    <t xml:space="preserve">0.000000680 [FY24 rpt] / 0.0000509113 [FY25 rpt]</t>
  </si>
  <si>
    <t xml:space="preserve">HDFC FY25 report restates FY24 PPP-adj. water intensity as 3.24 (vs. 3.58 originally in FY24 report) due to change in PPP conversion factor. || SBI: SBI's FY24 report's PPP-adjusted intensity figures were, per SBI's own FY25 report admission, erroneously reported identical to the non-PPP-adjusted figures (i.e. no PPP conversion was actually applied in the FY24 report). SBI's FY25 report recalculates FY24 correctly. Both the original (unadjusted) FY24-report figure and the corrected FY25-report figure are shown; the same defect likely affects SBI's FY23 PPP figures too, since they come from the same FY24 report. || SFL: SFL's PPP-adjusted intensity figures show a large, unexplained divergence between the FY24 report and FY25 report for the same FY24 period (the FY25 report's PPP-adjusted figure is roughly 70x the FY24 report's original figure, moving in the opposite direction from what a PPP adjustment would normally produce). This looks like a computational inconsistency in SFL's own disclosures rather than a deliberate restatement; both values are shown as reported.</t>
  </si>
  <si>
    <t xml:space="preserve">Water intensity — physical output</t>
  </si>
  <si>
    <t xml:space="preserve">KL/Employee or KL/FTE</t>
  </si>
  <si>
    <t xml:space="preserve">Water discharge — to third parties (no treatment)</t>
  </si>
  <si>
    <t xml:space="preserve">Water discharge — Others (no treatment)</t>
  </si>
  <si>
    <t xml:space="preserve">Not tracked</t>
  </si>
  <si>
    <t xml:space="preserve">Not disclosed (blank in source)</t>
  </si>
  <si>
    <t xml:space="preserve">FY25 'Others' discharge is split: 11,35,544.06 KL with no treatment + 1,18,768.3 KL with (primary-level) treatment via 30 STPs.</t>
  </si>
  <si>
    <t xml:space="preserve">TOTAL water discharged</t>
  </si>
  <si>
    <t xml:space="preserve">HDFC estimates discharge as 80% of water withdrawn (CPCB methodology). || SBI: SBI calculates total water discharged as number of employees × 20 litres/head/working day.</t>
  </si>
  <si>
    <t xml:space="preserve">Zero Liquid Discharge mechanism implemented? (Ess. Ind.5)</t>
  </si>
  <si>
    <t xml:space="preserve">Y/N + detail</t>
  </si>
  <si>
    <t xml:space="preserve">Not applicable — service org; STPs at select campuses</t>
  </si>
  <si>
    <t xml:space="preserve">No industrial wastewater generated; connected to municipal/facility STPs</t>
  </si>
  <si>
    <t xml:space="preserve">Not applicable</t>
  </si>
  <si>
    <t xml:space="preserve">No — industrial wastewater not generated</t>
  </si>
  <si>
    <t xml:space="preserve">No — industrial wastewater not generated; STPs installed at 27 larger premises for domiciliary wastewater</t>
  </si>
  <si>
    <t xml:space="preserve">No — industrial wastewater not generated; STPs installed at 30 larger premises</t>
  </si>
  <si>
    <t xml:space="preserve">No (implied)</t>
  </si>
  <si>
    <t xml:space="preserve">No — not applicable given nature of operations as NBFC (water usage limited to domestic/office purposes)</t>
  </si>
  <si>
    <t xml:space="preserve">No — same rationale</t>
  </si>
  <si>
    <t xml:space="preserve">Water withdrawal/consumption/discharge in water-stress areas (Leadership Ind.1)</t>
  </si>
  <si>
    <t xml:space="preserve">Not disclosed (no facilities identified in water-stress areas)</t>
  </si>
  <si>
    <t xml:space="preserve">NA — offices not situated in water-stress regions</t>
  </si>
  <si>
    <t xml:space="preserve">NA — same</t>
  </si>
  <si>
    <t xml:space="preserve">No bank identifies specific facilities located in areas of water stress.</t>
  </si>
  <si>
    <t xml:space="preserve">Essential Indicators 6-8 — Air Emissions (non-GHG) and GHG Scope 1 &amp; 2</t>
  </si>
  <si>
    <t xml:space="preserve">Air emissions — NOx</t>
  </si>
  <si>
    <t xml:space="preserve">Metric Tonnes</t>
  </si>
  <si>
    <t xml:space="preserve">N.A. (not material)</t>
  </si>
  <si>
    <t xml:space="preserve">Not material</t>
  </si>
  <si>
    <t xml:space="preserve">– (not material)</t>
  </si>
  <si>
    <t xml:space="preserve">Air emissions — SOx</t>
  </si>
  <si>
    <t xml:space="preserve">Air emissions — Particulate Matter (PM)</t>
  </si>
  <si>
    <t xml:space="preserve">HDFC began disclosing NOx/SOx/PM (from DG-set diesel use) only from FY25.</t>
  </si>
  <si>
    <t xml:space="preserve">Air emissions — POP / VOC / HAP / Others</t>
  </si>
  <si>
    <t xml:space="preserve">SFL: SFL states its business activities generate no air emissions.</t>
  </si>
  <si>
    <t xml:space="preserve">Total Scope 1 emissions — CO2</t>
  </si>
  <si>
    <t xml:space="preserve">Tonnes CO2 (Axis) or tCO2e</t>
  </si>
  <si>
    <t xml:space="preserve">7,390.65 (diesel)</t>
  </si>
  <si>
    <t xml:space="preserve">7,376.48 [FY24 rpt] / 15,750.49 [FY25 rpt]</t>
  </si>
  <si>
    <t xml:space="preserve">11,296.79 (diesel+AC fugitive)</t>
  </si>
  <si>
    <t xml:space="preserve">included in total below</t>
  </si>
  <si>
    <t xml:space="preserve">Not broken out</t>
  </si>
  <si>
    <t xml:space="preserve">Axis Bank's two reports show materially different FY24 CO2 figures (7,376.48 vs 15,750.49 tons) — likely a restated calculation methodology; both values shown. || SBI: SBI does not publish a gas-wise (CO2/CH4/N2O/HFCs) breakup of Scope 1 emissions — only a combined Scope 1 total is disclosed (see 'TOTAL Scope 1 emissions' row). || SFL: SFL does not publish a gas-wise (CO2/CH4/N2O/HFCs) breakup of Scope 1 — only a combined total is disclosed (see 'TOTAL Scope 1 emissions' row). Refill gas from air conditioners is excluded from Scope 1 (covered under vendor AMCs).</t>
  </si>
  <si>
    <t xml:space="preserve">Total Scope 1 emissions — CH4</t>
  </si>
  <si>
    <t xml:space="preserve">tCO2e</t>
  </si>
  <si>
    <t xml:space="preserve">n/a (not broken out)</t>
  </si>
  <si>
    <t xml:space="preserve">Total Scope 1 emissions — N2O</t>
  </si>
  <si>
    <t xml:space="preserve">Total Scope 1 emissions — HFCs (refrigerants)</t>
  </si>
  <si>
    <t xml:space="preserve">8,374.01 [FY24 rpt] / not shown separately [FY25 rpt]</t>
  </si>
  <si>
    <t xml:space="preserve">included in CO2 above</t>
  </si>
  <si>
    <t xml:space="preserve">n/a (not reported for FY23)</t>
  </si>
  <si>
    <t xml:space="preserve">TOTAL Scope 1 emissions (as stated by bank)</t>
  </si>
  <si>
    <t xml:space="preserve">Metric tonnes CO2e</t>
  </si>
  <si>
    <t xml:space="preserve">Not separately totalled (see components)</t>
  </si>
  <si>
    <t xml:space="preserve">3,319.53*</t>
  </si>
  <si>
    <t xml:space="preserve">Axis Bank does not publish an explicit Scope 1 total; only gas-wise components are disclosed. || SFL: *FY23 Scope 1 figure was restated in the FY24 report using a revised data-collection methodology.</t>
  </si>
  <si>
    <t xml:space="preserve">TOTAL Scope 2 emissions</t>
  </si>
  <si>
    <t xml:space="preserve">ICICI FY25 Scope 2 total excludes 11,000 MWh of purchased I-RECs; including I-RECs, estimated Scope 2 = 112,042.73 tCO2e.</t>
  </si>
  <si>
    <t xml:space="preserve">Scope 1+2 emission intensity per rupee turnover</t>
  </si>
  <si>
    <t xml:space="preserve">Axis: gCO2e/₹; HDFC: tCO2e/₹cr; ICICI: tCO2e/₹cr</t>
  </si>
  <si>
    <t xml:space="preserve">Units differ across banks — not directly comparable. || SBI: SBI reports per ₹ crore of domestic-operations revenue — not directly comparable to other banks' units. || SFL: SFL reports per rupee of revenue from operations — not directly comparable to other banks' figures.</t>
  </si>
  <si>
    <t xml:space="preserve">Scope 1+2 emission intensity adjusted for PPP</t>
  </si>
  <si>
    <t xml:space="preserve">Axis: gCO2e/₹ adj; HDFC: tCO2e/USDmn adj; ICICI: tCO2e/₹cr adj</t>
  </si>
  <si>
    <t xml:space="preserve">2.60 (likely same defect as FY24 — see note)</t>
  </si>
  <si>
    <t xml:space="preserve">1.80 [FY24 rpt, unadjusted] / 3.37 [FY25 rpt, recalculated]</t>
  </si>
  <si>
    <t xml:space="preserve">0.0000000191 [FY24 rpt] / 0.0000014276 [FY25 rpt]</t>
  </si>
  <si>
    <t xml:space="preserve">HDFC FY25 report restates FY24 PPP-adj. Scope1+2 intensity as 3.94 (vs. 4.36 originally) due to PPP factor change. || SBI: SBI's FY24 report's PPP-adjusted intensity figures were, per SBI's own FY25 report admission, erroneously reported identical to the non-PPP-adjusted figures (i.e. no PPP conversion was actually applied in the FY24 report). SBI's FY25 report recalculates FY24 correctly. Both the original (unadjusted) FY24-report figure and the corrected FY25-report figure are shown; the same defect likely affects SBI's FY23 PPP figures too, since they come from the same FY24 report. || SFL: SFL's PPP-adjusted intensity figures show a large, unexplained divergence between the FY24 report and FY25 report for the same FY24 period (the FY25 report's PPP-adjusted figure is roughly 70x the FY24 report's original figure, moving in the opposite direction from what a PPP adjustment would normally produce). This looks like a computational inconsistency in SFL's own disclosures rather than a deliberate restatement; both values are shown as reported.</t>
  </si>
  <si>
    <t xml:space="preserve">Scope 1+2 emission intensity — physical output</t>
  </si>
  <si>
    <t xml:space="preserve">tCO2e/FTE or MTCO2e/Employee</t>
  </si>
  <si>
    <t xml:space="preserve">Independent assurance obtained (Scope 1&amp;2)?</t>
  </si>
  <si>
    <t xml:space="preserve">Yes – DNV</t>
  </si>
  <si>
    <t xml:space="preserve">Yes – SGS India</t>
  </si>
  <si>
    <t xml:space="preserve">Yes – Talati and Talati LLP</t>
  </si>
  <si>
    <t xml:space="preserve">Yes – Rama K Gupta &amp; Co.</t>
  </si>
  <si>
    <t xml:space="preserve">GHG reduction project in place? (Ess. Ind. 8)</t>
  </si>
  <si>
    <t xml:space="preserve">See narrative sheet</t>
  </si>
  <si>
    <t xml:space="preserve">Yes – see narrative sheet</t>
  </si>
  <si>
    <t xml:space="preserve">No — FY24 report states no GHG-reduction project in place</t>
  </si>
  <si>
    <t xml:space="preserve">Full initiative descriptions captured in sheet '7. GHG Initiatives (narrative)'. || SBI: Full initiative descriptions captured in sheet '10. GHG Initiatives (P6)'. || SFL: SFL answered 'No' to this question in its FY24 report but 'Yes' in its FY25 report with a detailed initiatives list — reflecting genuine new projects undertaken during FY25, not a data restatement.</t>
  </si>
  <si>
    <t xml:space="preserve">Leadership Indicators 2-3 — Scope 3 Emissions &amp; Biodiversity Impact</t>
  </si>
  <si>
    <t xml:space="preserve">TOTAL Scope 3 emissions</t>
  </si>
  <si>
    <t xml:space="preserve">161,250 [FY24 rpt] / 268,808 [FY25 rpt]</t>
  </si>
  <si>
    <t xml:space="preserve">NA — Scope 3 calculated for the first time in FY23-24</t>
  </si>
  <si>
    <t xml:space="preserve">ICICI's two reports show very different FY24 Scope 3 totals (161,250 vs 268,808 tCO2e) despite citing the same emission categories — likely a restatement; both shown. HDFC expanded its Scope 3 categories in FY25 (added Employee Commute and Fuel &amp; Energy Related Activities), which explains the large jump. ICICI FY23 figure covers business travel only; scope expanded in later years. || SFL: SFL expanded its Scope 3 category coverage in FY25 (added Category 3: Fuel &amp; Energy-related Activities), so FY25 is not directly comparable to FY24.</t>
  </si>
  <si>
    <t xml:space="preserve">Scope 3 emissions per rupee of turnover</t>
  </si>
  <si>
    <t xml:space="preserve">0.97 [FY24 rpt] / 1.62 [FY25 rpt]</t>
  </si>
  <si>
    <t xml:space="preserve">Scope 3 emission intensity — physical output</t>
  </si>
  <si>
    <t xml:space="preserve">tCO2e/FTE or tCO2e/Employee</t>
  </si>
  <si>
    <t xml:space="preserve">NA — not disclosed in FY25 report format</t>
  </si>
  <si>
    <t xml:space="preserve">Scope 3 categories covered</t>
  </si>
  <si>
    <t xml:space="preserve">Not specified</t>
  </si>
  <si>
    <t xml:space="preserve">Business travel, waste generated in operations, upstream leased assets</t>
  </si>
  <si>
    <t xml:space="preserve">Business travel, waste generated in operations, upstream leased assets, other facilities (ATM electricity)</t>
  </si>
  <si>
    <t xml:space="preserve">Above + Employee Commute + Fuel &amp; Energy Related Activities (2 categories added in FY25)</t>
  </si>
  <si>
    <t xml:space="preserve">Business travel only</t>
  </si>
  <si>
    <t xml:space="preserve">Capital goods, business travel, employee commuting</t>
  </si>
  <si>
    <t xml:space="preserve">Capital goods, fuel &amp; energy related activities, business travel, employee commuting, upstream/downstream transportation &amp; distribution, waste generated in operations</t>
  </si>
  <si>
    <t xml:space="preserve">Waste generated in operations (Category 5) + Business Travel (Category 6)</t>
  </si>
  <si>
    <t xml:space="preserve">Not applicable (not yet calculated)</t>
  </si>
  <si>
    <t xml:space="preserve">Category 1 (Purchased Goods &amp; Services), Category 2 (Capital Goods), Category 5 (Waste Generated in Operations), Category 6 (Business Travel), Category 7 (Employee Commute) — 5 categories</t>
  </si>
  <si>
    <t xml:space="preserve">Above 5 categories + Category 3 (Fuel &amp; Energy-related Activities) — 6 categories total</t>
  </si>
  <si>
    <t xml:space="preserve">Independent assurance obtained (Scope 3)?</t>
  </si>
  <si>
    <t xml:space="preserve">Yes – Rama K Gupta &amp; Co. (Limited Assurance)</t>
  </si>
  <si>
    <t xml:space="preserve">Yes – RGN Price &amp; Co. (Limited Assurance)</t>
  </si>
  <si>
    <t xml:space="preserve">Not stated (no explicit Y/N given in FY24 report)</t>
  </si>
  <si>
    <t xml:space="preserve">No — Scope 3 emissions not independently assured for FY25</t>
  </si>
  <si>
    <t xml:space="preserve">SBI uses a different named assurance provider specifically for Scope 3 than for its other environmental metrics in the same report year — reported exactly as stated by the bank. || SFL: Unlike Energy, Water, Waste and Scope 1&amp;2 (all independently assured), SFL's Scope 3 emissions are explicitly NOT assured in the FY25 report.</t>
  </si>
  <si>
    <t xml:space="preserve">Financed emissions disclosed?</t>
  </si>
  <si>
    <t xml:space="preserve">Not disclosed in Principle 6</t>
  </si>
  <si>
    <t xml:space="preserve">Yes – FY25: assessed financed emissions for business loans of ₹1.90 lakh crore exposure (PCAF-aligned); ~23.8 million tCO2e</t>
  </si>
  <si>
    <t xml:space="preserve">Not disclosed (bank states it is 'in the process of calculating emissions from its financed portfolio')</t>
  </si>
  <si>
    <t xml:space="preserve">Not disclosed (same — roadmap to net-zero in progress)</t>
  </si>
  <si>
    <t xml:space="preserve">Direct/indirect biodiversity impact in ecologically sensitive areas (Leadership Ind.3)</t>
  </si>
  <si>
    <t xml:space="preserve">Not applicable — no significant direct impact; ESG risk assessed for wholesale lending</t>
  </si>
  <si>
    <t xml:space="preserve">No direct operations in sensitive areas; ESG/social risk assessment conducted for wholesale lending</t>
  </si>
  <si>
    <t xml:space="preserve">No significant direct impact; large infra/industrial loan clients checked for environmental compliance</t>
  </si>
  <si>
    <t xml:space="preserve">No significant direct impact; ESG rating system applied to borrowers &gt;₹100cr (listed) / &gt;₹250cr (unlisted) exposure, combined with CRA rating at sanction</t>
  </si>
  <si>
    <t xml:space="preserve">Same ESG/CRA framework; no significant direct impact on biodiversity</t>
  </si>
  <si>
    <t xml:space="preserve">Not directly addressed in Principle 6 (no ecologically sensitive area operations)</t>
  </si>
  <si>
    <t xml:space="preserve">No — Company has no operations in ecologically sensitive areas; no significant direct/indirect biodiversity impact identified</t>
  </si>
  <si>
    <t xml:space="preserve">Essential Indicator 9 — Waste Generation, Recovery &amp; Disposal</t>
  </si>
  <si>
    <t xml:space="preserve">Plastic waste generated (A)</t>
  </si>
  <si>
    <t xml:space="preserve">E-waste generated (B)</t>
  </si>
  <si>
    <t xml:space="preserve">ICICI FY23 e-waste covers only IT-related e-waste; FY24 onward covers all types. || SFL: FY25 e-waste jumped sharply due to scrapping of outdated desktop and server operating systems, per SFL's own footnote.</t>
  </si>
  <si>
    <t xml:space="preserve">Bio-medical waste generated (C)</t>
  </si>
  <si>
    <t xml:space="preserve">No data available</t>
  </si>
  <si>
    <t xml:space="preserve">Construction &amp; demolition waste generated (D)</t>
  </si>
  <si>
    <t xml:space="preserve">Battery waste generated (E)</t>
  </si>
  <si>
    <t xml:space="preserve">– (none reported)</t>
  </si>
  <si>
    <t xml:space="preserve">Radioactive waste generated (F)</t>
  </si>
  <si>
    <t xml:space="preserve">Other hazardous waste generated (G)</t>
  </si>
  <si>
    <t xml:space="preserve">HDFC's 'Other Hazardous waste' includes DG (diesel generator) oil waste.</t>
  </si>
  <si>
    <t xml:space="preserve">Other non-hazardous waste generated (H)</t>
  </si>
  <si>
    <t xml:space="preserve">Paper 122.04</t>
  </si>
  <si>
    <t xml:space="preserve">Paper 234.69 + Metal 9.73 + Glass 0.54 + Organic 157.08 = 402.04</t>
  </si>
  <si>
    <t xml:space="preserve">Paper 207.34 + Metal 13.82 + Glass 0.56 + Organic 182.45 + Inert 0.18 = 404.35</t>
  </si>
  <si>
    <t xml:space="preserve">24.25 (plastic packing 0.35 + corrugated boxes 0.65)</t>
  </si>
  <si>
    <t xml:space="preserve">2.30 (plastic packing 1.30 + corrugated boxes 1.00)</t>
  </si>
  <si>
    <t xml:space="preserve">SBI's 'Other Non-hazardous' category is specifically Food Waste. || SFL: SFL's 'Other Non-hazardous' breaks down into Paper, Cardboard, and Metal.</t>
  </si>
  <si>
    <t xml:space="preserve">Sector-specific paper waste (I)</t>
  </si>
  <si>
    <t xml:space="preserve">included in (H) above</t>
  </si>
  <si>
    <t xml:space="preserve">TOTAL waste generated</t>
  </si>
  <si>
    <t xml:space="preserve">Waste intensity per rupee of turnover</t>
  </si>
  <si>
    <t xml:space="preserve">Axis: kg/₹; HDFC: MT/₹cr; ICICI: MT/₹cr</t>
  </si>
  <si>
    <t xml:space="preserve">Units differ across banks — not directly comparable. || SBI: SBI reports per ₹ crore of domestic-operations revenue — not directly comparable to other banks' units. || SFL: SFL reports per rupee of revenue from operations — extremely small values; not directly comparable to other banks' per-₹-crore figures.</t>
  </si>
  <si>
    <t xml:space="preserve">Waste intensity adjusted for PPP</t>
  </si>
  <si>
    <t xml:space="preserve">Axis: kg/₹adj; HDFC: MT/USDmn adj; ICICI: MT/₹cr adj</t>
  </si>
  <si>
    <t xml:space="preserve">0.004 (likely same defect as FY24 — see note)</t>
  </si>
  <si>
    <t xml:space="preserve">0.016 [FY24 rpt, unadjusted] / 0.029 [FY25 rpt, recalculated]</t>
  </si>
  <si>
    <t xml:space="preserve">0.00000000040 [FY24 rpt] / 0.0000000297 [FY25 rpt]</t>
  </si>
  <si>
    <t xml:space="preserve">SBI's FY24 report's PPP-adjusted intensity figures were, per SBI's own FY25 report admission, erroneously reported identical to the non-PPP-adjusted figures (i.e. no PPP conversion was actually applied in the FY24 report). SBI's FY25 report recalculates FY24 correctly. Both the original (unadjusted) FY24-report figure and the corrected FY25-report figure are shown; the same defect likely affects SBI's FY23 PPP figures too, since they come from the same FY24 report. || SFL: SFL's PPP-adjusted intensity figures show a large, unexplained divergence between the FY24 report and FY25 report for the same FY24 period (the FY25 report's PPP-adjusted figure is roughly 70x the FY24 report's original figure, moving in the opposite direction from what a PPP adjustment would normally produce). This looks like a computational inconsistency in SFL's own disclosures rather than a deliberate restatement; both values are shown as reported.</t>
  </si>
  <si>
    <t xml:space="preserve">Waste intensity — physical output</t>
  </si>
  <si>
    <t xml:space="preserve">kg/FTE or MT/Employee</t>
  </si>
  <si>
    <t xml:space="preserve">NA [FY24 rpt] / 0.0067287829 [FY25 rpt, retroactively computed]</t>
  </si>
  <si>
    <t xml:space="preserve">SFL: Physical-output waste intensity is a metric SFL's FY25 report added for the first time (per Industry Standards Forum guidance); the FY24 report showed NA for this row.</t>
  </si>
  <si>
    <t xml:space="preserve">Waste recovered — Recycled</t>
  </si>
  <si>
    <t xml:space="preserve">SBI's report gives recovery/disposal figures broken down by individual waste category (Plastic/Paper/E-waste/Battery/Food) rather than one combined total like the other banks. These SBI figures are computed by summing across SBI's disclosed categories.</t>
  </si>
  <si>
    <t xml:space="preserve">Waste recovered — Re-used</t>
  </si>
  <si>
    <t xml:space="preserve">Waste recovered — Other recovery operations</t>
  </si>
  <si>
    <t xml:space="preserve">FY24's large 'other recovery' figure is mostly battery waste (497.44 MT) sent for buyback recycling by vendors; SBI did not classify any FY25 battery waste this way (see disposal row instead). || SFL: SFL classifies 100% of its (non-hazardous, low-volume) waste as 'other recovery operations' — none is recorded as conventionally 'recycled' or 're-used', and none is incinerated/landfilled.</t>
  </si>
  <si>
    <t xml:space="preserve">TOTAL waste recovered (diverted from disposal)</t>
  </si>
  <si>
    <t xml:space="preserve">Waste disposed — Incineration</t>
  </si>
  <si>
    <t xml:space="preserve">Waste disposed — Landfilling</t>
  </si>
  <si>
    <t xml:space="preserve">Waste disposed — Other disposal operations</t>
  </si>
  <si>
    <t xml:space="preserve">Sold to authorised scrap dealers (qty n/a)</t>
  </si>
  <si>
    <t xml:space="preserve">TOTAL waste disposed</t>
  </si>
  <si>
    <t xml:space="preserve">Computed as the sum of SBI's per-category disposal figures (Incineration + Landfilling + Other disposal operations, summed above).</t>
  </si>
  <si>
    <t xml:space="preserve">Independent assurance obtained (waste)?</t>
  </si>
  <si>
    <t xml:space="preserve">Essential Ind. 10-13 &amp; Leadership Ind. 5-8 — Waste Practices, Compliance, EIA, BCP, Value Chain, Green Credits</t>
  </si>
  <si>
    <t xml:space="preserve">Waste management practices / hazardous chemical reduction strategy (Ess. Ind.10)</t>
  </si>
  <si>
    <t xml:space="preserve">Policy on Environmental Management; engages authorised SPCB/CPCB-empanelled vendors; no hazardous/toxic chemicals used</t>
  </si>
  <si>
    <t xml:space="preserve">Refuse/Reduce/Replace/Recycle/Rethink approach; SAKSHAM digital initiative; recycled &amp; wheat-straw paper; authorised recyclers for e-waste/batteries</t>
  </si>
  <si>
    <t xml:space="preserve">No hazardous/toxic chemicals used; internal SOP for waste segregation; dry waste recycled via authorised vendors</t>
  </si>
  <si>
    <t xml:space="preserve">Same approach; 110.58 T e-waste &amp; 20.51 T battery waste recycled via authorised recyclers</t>
  </si>
  <si>
    <t xml:space="preserve">Same approach; ~421.82 T diverted from landfill via recycling; 133.77 T e-waste &amp; 34.13 T battery waste recycled</t>
  </si>
  <si>
    <t xml:space="preserve">Robust waste handling incl. composting; e-waste recycled via authorised agencies per national/local regs</t>
  </si>
  <si>
    <t xml:space="preserve">Same; additional waste reduction/recycling measures at BKC Service Centre; 'Net Zero Waste' IGBC rating received for BKC</t>
  </si>
  <si>
    <t xml:space="preserve">Same approach; e-waste recycled via authorised agencies; environment-friendly consumables promoted at premises</t>
  </si>
  <si>
    <t xml:space="preserve">3R (Reduce/Reuse/Recycle) approach; e-waste policy for safe disposal; battery buyback scheme; no hazardous/toxic chemicals used</t>
  </si>
  <si>
    <t xml:space="preserve">Same 3R approach; dedicated e-waste policy; battery buyback scheme</t>
  </si>
  <si>
    <t xml:space="preserve">Same approach; plastic-bottle crushing machines installed at ~20 locations; e-waste/battery disposed via authorised vendors/buyback</t>
  </si>
  <si>
    <t xml:space="preserve">Company does not produce hazardous/toxic substances; operations designed to be environmentally responsible</t>
  </si>
  <si>
    <t xml:space="preserve">Same — no harmful materials produced that could pose risk to health or environment</t>
  </si>
  <si>
    <t xml:space="preserve">Operations/offices in ecologically sensitive areas? (Ess. Ind.11)</t>
  </si>
  <si>
    <t xml:space="preserve">Not Applicable / N.A.</t>
  </si>
  <si>
    <t xml:space="preserve">No — no operations/offices in or around ecologically sensitive areas</t>
  </si>
  <si>
    <t xml:space="preserve">No — given nature of business</t>
  </si>
  <si>
    <t xml:space="preserve">No specific instances flagged; approvals/clearances complied with where applicable</t>
  </si>
  <si>
    <t xml:space="preserve">Bank operates across all types of centres with proper licences; all clearances/approvals complied with</t>
  </si>
  <si>
    <t xml:space="preserve">NA — no operations/offices in/around ecologically sensitive areas</t>
  </si>
  <si>
    <t xml:space="preserve">Environmental Impact Assessments (EIA) conducted (Ess. Ind.12)</t>
  </si>
  <si>
    <t xml:space="preserve">No — nature of operations doesn't fall under EIA regulations</t>
  </si>
  <si>
    <t xml:space="preserve">Nil — no EIAs conducted</t>
  </si>
  <si>
    <t xml:space="preserve">NA — not conducted during the reporting period</t>
  </si>
  <si>
    <t xml:space="preserve">Compliant with applicable environmental laws/regulations? (Ess. Ind.13)</t>
  </si>
  <si>
    <t xml:space="preserve">N.A. (as reported)</t>
  </si>
  <si>
    <t xml:space="preserve">Yes — compliant with Water Act, Air Act, EPA &amp; rules</t>
  </si>
  <si>
    <t xml:space="preserve">Yes — no instances of non-compliance</t>
  </si>
  <si>
    <t xml:space="preserve">Not applicable (as literally reported)</t>
  </si>
  <si>
    <t xml:space="preserve">Yes — complies with Water Act, Air Act, Environment Protection Act &amp; rules; no non-compliances</t>
  </si>
  <si>
    <t xml:space="preserve">Yes — same; no non-compliances</t>
  </si>
  <si>
    <t xml:space="preserve">Yes — compliant with all applicable laws</t>
  </si>
  <si>
    <t xml:space="preserve">Yes — same</t>
  </si>
  <si>
    <t xml:space="preserve">Axis (FY23-24) and ICICI (all years) literally state 'N.A.'/'Not applicable' in response to this Y/N compliance question in the source PDF, rather than 'Yes'.</t>
  </si>
  <si>
    <t xml:space="preserve">Business continuity &amp; disaster management plan? (Leadership Ind.5)</t>
  </si>
  <si>
    <t xml:space="preserve">Yes — BCP &amp; Crisis Management Committee (BCPMC) oversight</t>
  </si>
  <si>
    <t xml:space="preserve">Yes — BCM framework aligned to RBI guidelines; 3 pillars: business continuity, disaster recovery, emergency response</t>
  </si>
  <si>
    <t xml:space="preserve">Yes — proactive info/cyber security &amp; data privacy focus</t>
  </si>
  <si>
    <t xml:space="preserve">Yes — ISO 22301:2019 certified Business Continuity Program</t>
  </si>
  <si>
    <t xml:space="preserve">Yes — ISO 22301:2019 certified; overseen by Business Continuity Steering Committee (chaired by CRO)</t>
  </si>
  <si>
    <t xml:space="preserve">Yes — BCM plan with defined RTOs + separate IT Disaster Recovery (DR) plan</t>
  </si>
  <si>
    <t xml:space="preserve">Yes — BCM plan with defined RTOs + IT DR plan; periodic DR drills per approved calendar</t>
  </si>
  <si>
    <t xml:space="preserve">Yes — Board-approved BC&amp;OR Policy; ISO 22301:2012-aligned</t>
  </si>
  <si>
    <t xml:space="preserve">Yes — Board-approved Business Continuity &amp; Operational Resilience (BC&amp;OR) Policy + BCM Policy for IT; ISO 22301:2012 compliant</t>
  </si>
  <si>
    <t xml:space="preserve">Yes — same policies; individual business/operating units maintain contingency plans, BC&amp;OR strategies and DRPs with regular testing</t>
  </si>
  <si>
    <t xml:space="preserve">Yes — Company has framed a Business Continuity Plan (BCP) to avoid disruption of critical services</t>
  </si>
  <si>
    <t xml:space="preserve">Yes — comprehensive BCP established; no service disruptions during the year</t>
  </si>
  <si>
    <t xml:space="preserve">Significant adverse environmental impact from value chain? (Leadership Ind.6)</t>
  </si>
  <si>
    <t xml:space="preserve">None observed directly; ESG risk assessment framework for wholesale lending mitigates indirect risk</t>
  </si>
  <si>
    <t xml:space="preserve">ESG Risk Mgmt Policy incl. E&amp;S due diligence for specified wholesale loan exposures</t>
  </si>
  <si>
    <t xml:space="preserve">ESG Risk Mgmt Framework incl. E&amp;S due diligence for specified wholesale loan exposures</t>
  </si>
  <si>
    <t xml:space="preserve">Most significant impact arises from financing emission-intensive sectors; mitigated via ESG/CRA borrower rating system (&gt;₹100cr listed / &gt;₹250cr unlisted exposure); investments in Neev Fund and green/EV-related companies</t>
  </si>
  <si>
    <t xml:space="preserve">Same ESG/CRA framework; continuing to calculate financed-portfolio emissions toward a net-zero roadmap</t>
  </si>
  <si>
    <t xml:space="preserve">Not available</t>
  </si>
  <si>
    <t xml:space="preserve">Not disclosed (this Leadership Indicator not included in FY24 report's Principle 6 format)</t>
  </si>
  <si>
    <t xml:space="preserve">No significant adverse environmental impacts identified from value chain; partners encouraged to comply with environmental regulations</t>
  </si>
  <si>
    <t xml:space="preserve">% of value chain partners assessed for environmental impacts (Leadership Ind.7)</t>
  </si>
  <si>
    <t xml:space="preserve">No formal assessment yet conducted; ESG integration into procurement being strengthened</t>
  </si>
  <si>
    <t xml:space="preserve">Assessed as part of regular credit monitoring (no % disclosed)</t>
  </si>
  <si>
    <t xml:space="preserve">Not disclosed for FY23</t>
  </si>
  <si>
    <t xml:space="preserve">3.84% (99 vendors assessed during FY2024)</t>
  </si>
  <si>
    <t xml:space="preserve">2.03% (185 vendors assessed during FY2025)</t>
  </si>
  <si>
    <t xml:space="preserve">Planned for subsequent years (not yet assessed)</t>
  </si>
  <si>
    <t xml:space="preserve">Not formally assessed — Company encourages environmentally responsible practices and aims to integrate sustainability considerations into value chain engagement in future</t>
  </si>
  <si>
    <t xml:space="preserve">Green credits generated/procured (Leadership Ind.8)</t>
  </si>
  <si>
    <t xml:space="preserve">Not disclosed (question not present in FY24-report format)</t>
  </si>
  <si>
    <t xml:space="preserve">Not disclosed in Principle 6 (question not present in FY25-report Principle 6 section)</t>
  </si>
  <si>
    <t xml:space="preserve">Not disclosed (question introduced later)</t>
  </si>
  <si>
    <t xml:space="preserve">(a) By company: Nil; (b) By top 10 value chain partners: Data not available</t>
  </si>
  <si>
    <t xml:space="preserve">(a) By company: Nil; (b) By top 10 value chain partners: Not tracked</t>
  </si>
  <si>
    <t xml:space="preserve">Not disclosed (question not present in this format)</t>
  </si>
  <si>
    <t xml:space="preserve">(a) By company: Nil; (b) By top 10 value chain partners: Nil</t>
  </si>
  <si>
    <t xml:space="preserve">Not disclosed (Green Credits question not in FY24 report's format)</t>
  </si>
  <si>
    <t xml:space="preserve">(a) By listed entity: Nil; (b) By top ten value chain partners: NA</t>
  </si>
  <si>
    <t xml:space="preserve">'Green Credits' question was added to the BRSR format only in later cycles — not all banks/years include it.</t>
  </si>
  <si>
    <t xml:space="preserve">Bank</t>
  </si>
  <si>
    <t xml:space="preserve">Year</t>
  </si>
  <si>
    <t xml:space="preserve">GHG Reduction / Resource Efficiency Initiatives (Ess. Ind.8 &amp; Leadership Ind.4, summarised)</t>
  </si>
  <si>
    <t xml:space="preserve">Axis</t>
  </si>
  <si>
    <t xml:space="preserve">FY23</t>
  </si>
  <si>
    <t xml:space="preserve">Not separately detailed in the FY24 report's prior-year column (initiatives narrated only for the current reporting year).</t>
  </si>
  <si>
    <t xml:space="preserve">FY24</t>
  </si>
  <si>
    <t xml:space="preserve">Solar project at Solapur (~2 MW) avoided ~2,286.16 tCO2e. Solar PPA (~1 MW, 3.50 lakh units p.a.) for Bengaluru Data Centre — ~47.35 lakh units consumed, avoiding ~3,390.26 tCO2e. CEMS implemented across 600 branches saved 39.05 lakh units of electricity, avoiding ~2,796.26 tCO2e. Three large Mumbai offices (Axis House Worli, Andheri MIDC, Ruby Mills) run 100% on green energy, avoiding ~2,928.07 tCO2e. Axis House Worli has an additional 227 KW solar capacity, avoiding ~85.71 tCO2e. Unity power factor maintained via APFC panels at Axis House Mumbai/Noida. Motion sensors installed at Axis House Mumbai &amp; Regional Office Bengaluru.</t>
  </si>
  <si>
    <t xml:space="preserve">FY25</t>
  </si>
  <si>
    <t xml:space="preserve">Solar project at Solapur (~2 MW) avoided ~2,221.59 tCO2e in FY25. Data Centre solar PPA — ~100.70 lakh units consumed, avoiding ~7,320.89 tCO2e. CEMS across 600 branches saved 38.72 lakh units, avoiding ~2,814.96 tCO2e. Three large Mumbai offices on 100% green energy avoided ~5,040.17 tCO2e (later table: 3 offices avoided ~5,040.17 tCO2e; Worli's extra 224 KW solar avoided ~53.11 tCO2e). Unity power factor maintained; star-rated ACs &amp; motion sensors deployed. Data Centre adopted air-cooled chillers, thermal insulation, temp/humidity sensors on server racks, modular UPS (&gt;97% efficiency), motion-sensor LED lighting. EV charging installed at Mumbai/Noida/Andheri campuses. Low-VOC primers/paints used in fit-outs.</t>
  </si>
  <si>
    <t xml:space="preserve">HDFC</t>
  </si>
  <si>
    <t xml:space="preserve">Automated energy management deployed at 568 branches — 16% electricity savings (~4.19 million kWh). Active Harmonic Filter (AHF) static power-factor correction at 86 locations — ~0.16 million kWh saved. 25 rooftop solar plants (~720 kWp cumulative). Green power procured at premium tariff at 12 Maharashtra locations (&gt;2,639.18 MWh in FY24) avoided ~1,889.66 tCO2e. 2,026 branches/offices IGBC green-certified as of 31-Mar-2024.</t>
  </si>
  <si>
    <t xml:space="preserve">On-site solar (25 rooftop plants, ~743 kWp) — 837.72 MWh consumed, avoiding 609.02 tCO2e. Green power: 19 locations now 100% green energy — 17,616.9 MWh procured, avoiding 12,807.48 tCO2e. Automated energy management (350 branches) saved 623.84 MWh, avoiding 453.53 tCO2e. AHF at 84 locations saved 84.32 MWh, cutting ~61.3 tCO2e. 0.51% of FY25 capex allocated to energy efficiency (BEE 5-star ACs, CPCB IV DG sets, solar panels, STPs). 2,507 branches/offices IGBC green-certified as of 31-Mar-2025.</t>
  </si>
  <si>
    <t xml:space="preserve">ICICI</t>
  </si>
  <si>
    <t xml:space="preserve">Ongoing replacement of old/aged AC units, UPS, DG sets and stabilisers with energy-efficient equipment to reduce GHG emissions; feasibility of further interventions under evaluation.</t>
  </si>
  <si>
    <t xml:space="preserve">Target set: carbon neutral in Scope 1 &amp; 2 by FY2032. Sourcing green power from utilities at select locations via Green Tariff. FSC-certified recycled paper used for pre-print forms at business centres. Atmospheric Water Generators (AWG) installed at 5 locations (cumulative 8,000 litres/day potable water) to cut dependence on packaged water. Onboarding a digital ESG data-governance tool to strengthen emissions calculation &amp; monitoring.</t>
  </si>
  <si>
    <t xml:space="preserve">SBI</t>
  </si>
  <si>
    <t xml:space="preserve">Digitisation via YONO: 6.3 million digital loans disbursed, saving ~88.42 million pages. Green power via DISCOMs at 18 large establishments avoided 11,375 tCO2e. 10 owned windmills (15 MW capacity) avoided 10,050 tCO2e via open-access wind power. E-waste recycling: 36.07 MT recycled + 154.7 MT given to authorised vendors. Solar: 795 buildings + 3,534 ATMs with rooftop solar (&gt;26 MW total) avoided 31,969 tCO2e.</t>
  </si>
  <si>
    <t xml:space="preserve">YONO digitisation saved ~380.3 lakh pages. Green power expanded to 59 large establishments (up from 18), avoiding 15,690 tCO2e via 2.16 crore units of green power. 10 windmills (15 MW) avoided 7,687 tCO2e. E-waste: 168.7 MT given to authorised vendors; 846 MT battery waste disposed via buyback. Solar: 1,013 buildings + 3,534 ATMs (&gt;31 MW) avoided 38,024 tCO2e; 61 buildings now IGBC green-certified (16 added in FY25, incl. Platinum/Gold/Silver/Net Zero ratings). ATM upgradation: 11,663 ATMs replaced with energy-efficient models (43,000+ planned by FY26). Plastic-bottle crushers installed at ~20 locations; rainwater harvesting at 542 locations; 30 STPs installed.</t>
  </si>
  <si>
    <t xml:space="preserve">SFL</t>
  </si>
  <si>
    <t xml:space="preserve">Not separately detailed in the FY24 report's prior-year column.</t>
  </si>
  <si>
    <t xml:space="preserve">FY24 report states the Company had NO project related to reducing GHG emissions in place during the year (answered 'No' to Essential Indicator 8).</t>
  </si>
  <si>
    <t xml:space="preserve">FY25 report reports several initiatives for the first time: transition to a paperless environment via digital workflows, electronic documentation and e-signature solutions; replacement of conventional tube lights with LED lighting throughout premises; increased use of digital agreements/contracts reducing physical documentation; eco-friendly biodegradable flex banners for branding/promotional activities; high-efficiency air conditioning systems; inverter-based power backup systems replacing traditional diesel generators; and launch of a new business vertical, 'Shriram Green Finance', dedicated to financing electric vehicles, EV charging stations, renewable energy technologies and energy-efficient machinery.</t>
  </si>
  <si>
    <t xml:space="preserve">Principle 9, Essential Indicator 3 — Number of Consumer Complaints (Received during the year / Pending resolution at end of year)</t>
  </si>
  <si>
    <t xml:space="preserve">Category of Complaint</t>
  </si>
  <si>
    <t xml:space="preserve">Received</t>
  </si>
  <si>
    <t xml:space="preserve">Pending</t>
  </si>
  <si>
    <t xml:space="preserve">Data privacy</t>
  </si>
  <si>
    <t xml:space="preserve">Advertising</t>
  </si>
  <si>
    <t xml:space="preserve">Not separately reported</t>
  </si>
  <si>
    <t xml:space="preserve">Cyber-security</t>
  </si>
  <si>
    <t xml:space="preserve">Delivery of essential services</t>
  </si>
  <si>
    <t xml:space="preserve">Restrictive Trade Practices</t>
  </si>
  <si>
    <t xml:space="preserve">Unfair Trade Practices</t>
  </si>
  <si>
    <t xml:space="preserve">Others</t>
  </si>
  <si>
    <t xml:space="preserve">TOTAL (sum of numeric categories shown above)</t>
  </si>
  <si>
    <t xml:space="preserve">Notes:</t>
  </si>
  <si>
    <t xml:space="preserve">• '–' denotes the bank reported a dash/nil for that cell in the source table (treated here as no complaints in that category, as literally reported).</t>
  </si>
  <si>
    <t xml:space="preserve">• Axis Bank's FY24 report (BRSR FY24) only disclosed complaints in 4 aggregated categories — Data Privacy, Cyber-security, Unfair Trade Practices and 'Other' — and explicitly stated it would report Advertising, Delivery of Essential Services and Restrictive Trade Practices 'going forward'. Axis Bank's FY25 report retroactively reclassified FY23-24 figures into all 7 BRSR categories (shown here for FY24); the reclassified figures are consistent with the original aggregated numbers (e.g. Unfair Trade Practices = 16,940 in both).</t>
  </si>
  <si>
    <t xml:space="preserve">• Axis FY23 figures are only available in the original 4-category format from the FY24 report (no FY25-report reclassification exists for FY23); 'Not separately reported' is shown for Advertising, Delivery of Essential Services and Restrictive Trade Practices for that year.</t>
  </si>
  <si>
    <t xml:space="preserve">• Axis FY23 Unfair Trade Practices pending resolution was marked '**' (footnoted but value not given) in the source report — shown as 'Not disclosed'.</t>
  </si>
  <si>
    <t xml:space="preserve">• HDFC Bank's 'Unfair Trade Practices' figure also includes complaints on Restrictive Trade Practices (per the Bank's own footnote), which is why Restrictive Trade Practices shows '–' separately for HDFC in all years.</t>
  </si>
  <si>
    <t xml:space="preserve">• ICICI Bank does not separately disclose Advertising, Cyber-security, Restrictive Trade Practices or Others in any year shown; only Data Privacy, Delivery of Essential Services and Unfair Trade Practices are populated. ICICI's FY25 report notes the complaint-recording mechanism was 'significantly enhanced across channels during FY2025', which it cites as a driver of the increase in complaints received.</t>
  </si>
  <si>
    <t xml:space="preserve">• ICICI FY23 Data Privacy and Unfair Trade Practices were not separately disclosed in the FY24 report (shown as '–'); cross-checked against the FY25 report's FY24 comparative column, which confirms Data Privacy FY24 = 57/2 and Unfair Trade Practices FY24 = 106/– exactly match between ICICI's FY24 and FY25 reports.</t>
  </si>
  <si>
    <t xml:space="preserve">• 'Others' category volumes are dominated by transaction/service-related complaints (ATM, cards, account operations, digital banking, etc.) which each bank reports as a single bucket rather than a further breakdown within Principle 9.</t>
  </si>
  <si>
    <t xml:space="preserve">• SBI does not separately disclose Advertising or Restrictive/Unfair Trade Practices complaints in FY23/FY24 (shown as '–'); FY25 reports these as 'Nil'. SBI's 'Cyber-security' complaint volumes are large because the Bank classifies unauthorised electronic debit-transaction complaints under this category. SBI's 'Delivery of essential services' complaints relate to delays in loan sanctioning.</t>
  </si>
  <si>
    <t xml:space="preserve">• SFL reports consumer complaints almost entirely under a single 'Other' category (matters like non-receipt of deposit/debenture certificates, interest/dividend/maturity amounts not credited, address/name not updated, statements/NOC not received) — Data Privacy, Advertising, Cyber-security, Delivery of Essential Services, and Trade Practices categories are all reported as zero in every year, unlike the banks which see meaningful volumes in Cyber-security and Delivery of Essential Services.</t>
  </si>
  <si>
    <t xml:space="preserve">Section A, Q20-22 — IV. Employees: Headcount, Differently-Abled, Women Representation, Turnover</t>
  </si>
  <si>
    <t xml:space="preserve">Permanent Employees (D) — Total / Male / Female / Other</t>
  </si>
  <si>
    <t xml:space="preserve">Number &amp; %</t>
  </si>
  <si>
    <t xml:space="preserve">Total 1,04,332; Male 78,238 (75%); Female 26,087 (25%); Other 7</t>
  </si>
  <si>
    <t xml:space="preserve">Total 1,04,453; Male 75,542 (72%); Female 28,910 (28%); Other 1 (0%)</t>
  </si>
  <si>
    <t xml:space="preserve">Total 2,13,527; Male 1,57,917 (74%); Female 55,610 (26%)</t>
  </si>
  <si>
    <t xml:space="preserve">Total 2,14,521; Male 1,58,449 (74%); Female 56,072 (26%)</t>
  </si>
  <si>
    <t xml:space="preserve">Total 135,900; Male 92,667 (68.19%); Female 43,233 (31.81%)</t>
  </si>
  <si>
    <t xml:space="preserve">Total 1,29,177; Male 87,790 (67.96%); Female 41,387 (32.04%)</t>
  </si>
  <si>
    <t xml:space="preserve">Total 2,28,679; Male 1,66,261 (72.70%); Female 62,418 (27.30%)</t>
  </si>
  <si>
    <t xml:space="preserve">Total 2,33,078; Male 1,68,176 (72.16%); Female 64,902 (27.84%)</t>
  </si>
  <si>
    <t xml:space="preserve">Total 74,645; Male 65,560 (87.83%); Female 9,085 (12.17%)</t>
  </si>
  <si>
    <t xml:space="preserve">Total 79,872; Male 69,258 (86.71%); Female 10,614 (13.29%)</t>
  </si>
  <si>
    <t xml:space="preserve">Other-than-Permanent Employees (E) — Total / Male / Female / Other</t>
  </si>
  <si>
    <t xml:space="preserve">Total 9,508; Male 8,163 (85.76%); Female 1,345 (14.13%); Other 0</t>
  </si>
  <si>
    <t xml:space="preserve">Total 9,948; Male 8,363 (84%); Female 1,584 (16%); Other 1 (0%)</t>
  </si>
  <si>
    <t xml:space="preserve">Total 38; Male 31 (82%); Female 7 (18%)</t>
  </si>
  <si>
    <t xml:space="preserve">Total 31; Male 24 (77%); Female 7 (23%)</t>
  </si>
  <si>
    <t xml:space="preserve">Total 5,109; Male 3,371 (65.98%); Female 1,738 (34.02%)</t>
  </si>
  <si>
    <t xml:space="preserve">Total 1,780; Male 1,166 (65.51%); Female 614 (34.49%)</t>
  </si>
  <si>
    <t xml:space="preserve">Total 3,175; Male 2,970 (93.54%); Female 205 (6.46%)</t>
  </si>
  <si>
    <t xml:space="preserve">Total 2,695; Male 2,509 (93.10%); Female 186 (6.90%)</t>
  </si>
  <si>
    <t xml:space="preserve">NA — no employees in this category</t>
  </si>
  <si>
    <t xml:space="preserve">0 — no employees in this category</t>
  </si>
  <si>
    <t xml:space="preserve">'Other than Permanent' = contractual employees on vendor payroll (Axis); employees on a contract basis (HDFC); interns &amp; fixed-term contracts (ICICI).</t>
  </si>
  <si>
    <t xml:space="preserve">TOTAL Employees (D+E) — Total / Male / Female / Other</t>
  </si>
  <si>
    <t xml:space="preserve">Total 1,13,840; Male 86,401; Female 27,432; Other 7</t>
  </si>
  <si>
    <t xml:space="preserve">Total 1,14,401; Male 83,905 (73%); Female 30,494 (27%); Other 2 (0%)</t>
  </si>
  <si>
    <t xml:space="preserve">Total 2,13,565; Male 1,57,948 (74%); Female 55,617 (26%)</t>
  </si>
  <si>
    <t xml:space="preserve">Total 2,14,552; Male 1,58,473 (74%); Female 56,079 (26%)</t>
  </si>
  <si>
    <t xml:space="preserve">Total 141,009; Male 96,038 (68.11%); Female 44,971 (31.89%)</t>
  </si>
  <si>
    <t xml:space="preserve">Total 130,957; Male 88,956 (67.93%); Female 42,001 (32.07%)</t>
  </si>
  <si>
    <t xml:space="preserve">Total 2,31,854*; Male 1,69,231 (72.99%); Female 62,623 (27.01%) (*incl. foreign-office staff)</t>
  </si>
  <si>
    <t xml:space="preserve">Total 2,35,773*; Male 1,70,685 (72.40%); Female 65,088 (27.60%) (*incl. foreign-office staff)</t>
  </si>
  <si>
    <t xml:space="preserve">Permanent Workers (F)</t>
  </si>
  <si>
    <t xml:space="preserve">N.A. — Bank has no workers as defined under SEBI BRSR</t>
  </si>
  <si>
    <t xml:space="preserve">NA — Bank does not employ workers</t>
  </si>
  <si>
    <t xml:space="preserve">– (none) — Bank does not employ workers</t>
  </si>
  <si>
    <t xml:space="preserve">NA — Company has no staff in the Workers category</t>
  </si>
  <si>
    <t xml:space="preserve">0 — same</t>
  </si>
  <si>
    <t xml:space="preserve">Other-than-Permanent Workers (G)</t>
  </si>
  <si>
    <t xml:space="preserve">0</t>
  </si>
  <si>
    <t xml:space="preserve">TOTAL Workers (F+G)</t>
  </si>
  <si>
    <t xml:space="preserve">HDFC states it does not employ any 'workers' (only permanent/contract employees) — worker rows are reported as 0. Axis and ICICI report worker rows as Not Applicable / N.A. as service-sector organisations.</t>
  </si>
  <si>
    <t xml:space="preserve">Differently-abled Employees — Permanent (D)</t>
  </si>
  <si>
    <t xml:space="preserve">Total 112; Male 96 (86%); Female 16 (14%)</t>
  </si>
  <si>
    <t xml:space="preserve">Total 86; Male 71 (83%); Female 15 (17%)</t>
  </si>
  <si>
    <t xml:space="preserve">Total 195; Male 162 (83%); Female 33 (17%)</t>
  </si>
  <si>
    <t xml:space="preserve">Total 212; Male 168 (79%); Female 44 (21%)</t>
  </si>
  <si>
    <t xml:space="preserve">Total 103; Male 87 (84.47%); Female 16 (15.53%)</t>
  </si>
  <si>
    <t xml:space="preserve">Total 92; Male 80 (86.96%); Female 12 (13.04%)</t>
  </si>
  <si>
    <t xml:space="preserve">Total 5,444; Male 4,260 (78.25%); Female 1,184 (21.75%)</t>
  </si>
  <si>
    <t xml:space="preserve">Total 5,806; Male 4,525 (77.94%); Female 1,281 (22.06%)</t>
  </si>
  <si>
    <t xml:space="preserve">Total 60; Male 50 (83.33%); Female 10 (16.67%)</t>
  </si>
  <si>
    <t xml:space="preserve">Differently-abled Employees — Other-than-Permanent (E)</t>
  </si>
  <si>
    <t xml:space="preserve">Total 28; Male 28 (100%); Female 0</t>
  </si>
  <si>
    <t xml:space="preserve">Total 25; Male 25 (100%); Female 0</t>
  </si>
  <si>
    <t xml:space="preserve">TOTAL Differently-abled Employees (D+E)</t>
  </si>
  <si>
    <t xml:space="preserve">Total 5,472; Male 4,288 (78.37%); Female 1,184 (21.63%)</t>
  </si>
  <si>
    <t xml:space="preserve">Total 5,831; Male 4,550 (78.04%); Female 1,281 (21.96%)</t>
  </si>
  <si>
    <t xml:space="preserve">Differently-abled Workers (Permanent, Other-than-Permanent &amp; Total)</t>
  </si>
  <si>
    <t xml:space="preserve">Not disclosed (Bank has no workers)</t>
  </si>
  <si>
    <t xml:space="preserve">Board of Directors — Total / Female count / Female %</t>
  </si>
  <si>
    <t xml:space="preserve">Total 13; Female 2 (15.4%)</t>
  </si>
  <si>
    <t xml:space="preserve">Total 13; Female 2 (15.38%)</t>
  </si>
  <si>
    <t xml:space="preserve">Total 12; Female 3 (25%)</t>
  </si>
  <si>
    <t xml:space="preserve">Total 13; Female 3 (23%)</t>
  </si>
  <si>
    <t xml:space="preserve">Total 12; Female 2 (16.67%)</t>
  </si>
  <si>
    <t xml:space="preserve">Total 13; Female 1 (7.70%)</t>
  </si>
  <si>
    <t xml:space="preserve">Total 12; Female 1 (8.33%)</t>
  </si>
  <si>
    <t xml:space="preserve">Total 10; Female 1 (10%)</t>
  </si>
  <si>
    <t xml:space="preserve">SBI's Board of Directors count includes Shareholder Board Members &amp; Nominated Board Members of GOI.</t>
  </si>
  <si>
    <t xml:space="preserve">Key Managerial Personnel — Total / Female count / Female %</t>
  </si>
  <si>
    <t xml:space="preserve">Total 6; Female 0 (0%)</t>
  </si>
  <si>
    <t xml:space="preserve">Total 6; Female 1 (16.67%)</t>
  </si>
  <si>
    <t xml:space="preserve">Total 26; Female 4 (15.38%)</t>
  </si>
  <si>
    <t xml:space="preserve">Total 27; Female 3 (11.11%)</t>
  </si>
  <si>
    <t xml:space="preserve">Total 7; Female 0 (0%)</t>
  </si>
  <si>
    <t xml:space="preserve">HDFC's KMP comprises 4 Executive Directors, the Chief Financial Officer and the Company Secretary. || SBI: SBI's KMP = Chairman, MDs and all DMDs. || SFL: 3 KMP (Executive Vice Chairman, MD &amp; CEO, and MD &amp; CFO) are counted under both BoD and KMP by SFL.</t>
  </si>
  <si>
    <t xml:space="preserve">Turnover rate — Permanent Employees: Male</t>
  </si>
  <si>
    <t xml:space="preserve">34.40%</t>
  </si>
  <si>
    <t xml:space="preserve">28.70%</t>
  </si>
  <si>
    <t xml:space="preserve">25.60%</t>
  </si>
  <si>
    <t xml:space="preserve">34.2%</t>
  </si>
  <si>
    <t xml:space="preserve">26.5%</t>
  </si>
  <si>
    <t xml:space="preserve">22.2%</t>
  </si>
  <si>
    <t xml:space="preserve">30.0%</t>
  </si>
  <si>
    <t xml:space="preserve">23.5%</t>
  </si>
  <si>
    <t xml:space="preserve">17.4%</t>
  </si>
  <si>
    <t xml:space="preserve">5.31%</t>
  </si>
  <si>
    <t xml:space="preserve">4.27%</t>
  </si>
  <si>
    <t xml:space="preserve">4.93%</t>
  </si>
  <si>
    <t xml:space="preserve">30.23%</t>
  </si>
  <si>
    <t xml:space="preserve">29.71%</t>
  </si>
  <si>
    <t xml:space="preserve">30.35%</t>
  </si>
  <si>
    <t xml:space="preserve">SFL: SFL also discloses an alternative 'internal guidelines' turnover rate (materially lower — e.g. FY25 Total 22.99% vs 30.86% under BRSR guidelines) — the BRSR-guidelines figures are used here for comparability with other banks.</t>
  </si>
  <si>
    <t xml:space="preserve">Turnover rate — Permanent Employees: Female</t>
  </si>
  <si>
    <t xml:space="preserve">35.90%</t>
  </si>
  <si>
    <t xml:space="preserve">28.80%</t>
  </si>
  <si>
    <t xml:space="preserve">25.30%</t>
  </si>
  <si>
    <t xml:space="preserve">34.1%</t>
  </si>
  <si>
    <t xml:space="preserve">28.2%</t>
  </si>
  <si>
    <t xml:space="preserve">23.7%</t>
  </si>
  <si>
    <t xml:space="preserve">32.7%</t>
  </si>
  <si>
    <t xml:space="preserve">26.7%</t>
  </si>
  <si>
    <t xml:space="preserve">19.3%</t>
  </si>
  <si>
    <t xml:space="preserve">3.13%</t>
  </si>
  <si>
    <t xml:space="preserve">3.54%</t>
  </si>
  <si>
    <t xml:space="preserve">3.37%</t>
  </si>
  <si>
    <t xml:space="preserve">35.26%</t>
  </si>
  <si>
    <t xml:space="preserve">33.07%</t>
  </si>
  <si>
    <t xml:space="preserve">34.33%</t>
  </si>
  <si>
    <t xml:space="preserve">Turnover rate — Permanent Employees: Total</t>
  </si>
  <si>
    <t xml:space="preserve">34.80%</t>
  </si>
  <si>
    <t xml:space="preserve">25.50%</t>
  </si>
  <si>
    <t xml:space="preserve">26.9%</t>
  </si>
  <si>
    <t xml:space="preserve">22.6%</t>
  </si>
  <si>
    <t xml:space="preserve">30.9%</t>
  </si>
  <si>
    <t xml:space="preserve">24.5%</t>
  </si>
  <si>
    <t xml:space="preserve">18.0%</t>
  </si>
  <si>
    <t xml:space="preserve">4.72%</t>
  </si>
  <si>
    <t xml:space="preserve">4.07%</t>
  </si>
  <si>
    <t xml:space="preserve">4.50%</t>
  </si>
  <si>
    <t xml:space="preserve">30.74%</t>
  </si>
  <si>
    <t xml:space="preserve">30.09%</t>
  </si>
  <si>
    <t xml:space="preserve">30.86%</t>
  </si>
  <si>
    <t xml:space="preserve">Turnover-rate figures are cross-checked and consistent between each bank's FY24 and FY25 reports (both report a rolling 3-year trend, and the overlapping years match exactly). ICICI's FY22 turnover total was revised from 36.1% to 36.2% per the bank's own footnote (not directly relevant to FY23-25 shown here).</t>
  </si>
  <si>
    <t xml:space="preserve">Turnover rate — Permanent Workers (Male/Female/Total)</t>
  </si>
  <si>
    <t xml:space="preserve">0% / NA</t>
  </si>
  <si>
    <t xml:space="preserve">Principle 1, Essential Indicator 9 — Openness of Business (Concentration of Purchases/Sales &amp; Related Party Transactions)</t>
  </si>
  <si>
    <t xml:space="preserve">Concentration of Purchases — Purchases from trading houses as % of total purchases</t>
  </si>
  <si>
    <t xml:space="preserve">1.00%</t>
  </si>
  <si>
    <t xml:space="preserve">3.39%</t>
  </si>
  <si>
    <t xml:space="preserve">3.04%</t>
  </si>
  <si>
    <t xml:space="preserve">Not material [FY24 rpt] / – [FY25 rpt]</t>
  </si>
  <si>
    <t xml:space="preserve">SFL: SFL states there are no purchases from trading houses given the nature of its business.</t>
  </si>
  <si>
    <t xml:space="preserve">Concentration of Purchases — Number of trading houses purchased from</t>
  </si>
  <si>
    <t xml:space="preserve">HDFC explicitly states it had no purchases from trading houses in FY24 and FY25. ICICI and HDFC both note these concentration-of-purchases/sales metrics are 'not applicable for banking considering the nature of business' — dashes reflect that framing rather than a true zero being computed.</t>
  </si>
  <si>
    <t xml:space="preserve">Concentration of Purchases — Purchases from top 10 trading houses as % of total trading-house purchases</t>
  </si>
  <si>
    <t xml:space="preserve">72.13%</t>
  </si>
  <si>
    <t xml:space="preserve">94.47%</t>
  </si>
  <si>
    <t xml:space="preserve">90.94%</t>
  </si>
  <si>
    <t xml:space="preserve">Concentration of Sales — Sales to dealers/distributors as % of total sales</t>
  </si>
  <si>
    <t xml:space="preserve">Concentration of Sales — Number of dealers/distributors sold to</t>
  </si>
  <si>
    <t xml:space="preserve">HDFC and ICICI both state they do not sell through dealers/distributors — products/services are offered directly to customers, hence dashes across all years.</t>
  </si>
  <si>
    <t xml:space="preserve">Concentration of Sales — Sales to top 10 dealers/distributors as % of total dealer/distributor sales</t>
  </si>
  <si>
    <t xml:space="preserve">Share of Related Party Transactions (RPTs) — Purchases (RPT purchases / Total purchases)</t>
  </si>
  <si>
    <t xml:space="preserve">1.20%</t>
  </si>
  <si>
    <t xml:space="preserve">1.17% [FY24 rpt] / 1.21% [FY25 rpt, restated]</t>
  </si>
  <si>
    <t xml:space="preserve">1.01%</t>
  </si>
  <si>
    <t xml:space="preserve">3.78%</t>
  </si>
  <si>
    <t xml:space="preserve">2.35%</t>
  </si>
  <si>
    <t xml:space="preserve">1.44%</t>
  </si>
  <si>
    <t xml:space="preserve">2.80%</t>
  </si>
  <si>
    <t xml:space="preserve">2.14%</t>
  </si>
  <si>
    <t xml:space="preserve">1.31%</t>
  </si>
  <si>
    <t xml:space="preserve">0.31%</t>
  </si>
  <si>
    <t xml:space="preserve">0.50%</t>
  </si>
  <si>
    <t xml:space="preserve">0.25%</t>
  </si>
  <si>
    <t xml:space="preserve">0 [FY24 rpt] / 30.44% [FY25 rpt, restated]</t>
  </si>
  <si>
    <t xml:space="preserve">26.44%</t>
  </si>
  <si>
    <t xml:space="preserve">SFL: SFL's FY25 report shows a dramatically different FY24 RPT-Purchases figure (30.44%) versus the FY24 report's original figure (0%) — driven by the FY25 methodology change per SEBI's Industry Standards Forum guidance (Dec 2024 circular). This is the largest such restatement seen across all banks in this workbook.</t>
  </si>
  <si>
    <t xml:space="preserve">Share of RPTs — Sales (RPT sales / Total sales)</t>
  </si>
  <si>
    <t xml:space="preserve">0.29% [FY24 rpt] / 1.29% [FY25 rpt, restated]</t>
  </si>
  <si>
    <t xml:space="preserve">1.45%</t>
  </si>
  <si>
    <t xml:space="preserve">1.12%</t>
  </si>
  <si>
    <t xml:space="preserve">1.81%</t>
  </si>
  <si>
    <t xml:space="preserve">2.17%</t>
  </si>
  <si>
    <t xml:space="preserve">0.61%</t>
  </si>
  <si>
    <t xml:space="preserve">1.84%</t>
  </si>
  <si>
    <t xml:space="preserve">0.03%</t>
  </si>
  <si>
    <t xml:space="preserve">0 [FY24 rpt] / 1.15% [FY25 rpt, restated]</t>
  </si>
  <si>
    <t xml:space="preserve">0.71%</t>
  </si>
  <si>
    <t xml:space="preserve">Axis Bank's FY25 report footnotes that 'prior period numbers have been reinstated to conform to current year numbers' based on related parties identified per note 2.5 of its FY25 standalone financial statements — both the original FY24-report figure and the restated figure are shown.</t>
  </si>
  <si>
    <t xml:space="preserve">Share of RPTs — Loans &amp; advances (RPT loans / Total loans &amp; advances)</t>
  </si>
  <si>
    <t xml:space="preserve">0.44%</t>
  </si>
  <si>
    <t xml:space="preserve">0.39%</t>
  </si>
  <si>
    <t xml:space="preserve">0.26%</t>
  </si>
  <si>
    <t xml:space="preserve">0.05%</t>
  </si>
  <si>
    <t xml:space="preserve">0.08%</t>
  </si>
  <si>
    <t xml:space="preserve">Axis's restated FY24 RPT-sales figure (1.29%) is materially different from the FY24 report's original figure (0.29%) — a ~4.4x difference, the largest restatement in this table. Treat the FY24-report figure as the contemporaneous disclosure and the FY25-report figure as the bank's own restatement.</t>
  </si>
  <si>
    <t xml:space="preserve">Share of RPTs — Investments (RPT investments / Total investments made)</t>
  </si>
  <si>
    <t xml:space="preserve">1.16%</t>
  </si>
  <si>
    <t xml:space="preserve">1.01% [FY24 rpt] / 1.18% [FY25 rpt, restated]</t>
  </si>
  <si>
    <t xml:space="preserve">1.57%</t>
  </si>
  <si>
    <t xml:space="preserve">1.55%</t>
  </si>
  <si>
    <t xml:space="preserve">1.92%</t>
  </si>
  <si>
    <t xml:space="preserve">1.66%</t>
  </si>
  <si>
    <t xml:space="preserve">2.60%</t>
  </si>
  <si>
    <t xml:space="preserve">2.63%</t>
  </si>
  <si>
    <t xml:space="preserve">4.00%</t>
  </si>
  <si>
    <t xml:space="preserve">0.12% [FY24 rpt] / 14.77% [FY25 rpt, restated]</t>
  </si>
  <si>
    <t xml:space="preserve">0.15%</t>
  </si>
  <si>
    <t xml:space="preserve">SFL: SFL's FY25 report restates FY24 RPT-Investments from 0.12% to 14.77% — another very large change from the FY25 methodology revision.</t>
  </si>
  <si>
    <t xml:space="preserve">Independent assurance obtained (Openness of Business)?</t>
  </si>
  <si>
    <t xml:space="preserve">ICICI's FY25 report notes the FY2025 RPT disclosures follow a methodology change (now based on SEBI LODR Regulations per SEBI Industry Standards Forum guidance); FY2024 comparative figures shown in the FY25 report are unchanged from the FY24 report.</t>
  </si>
  <si>
    <t xml:space="preserve">Principle 8, Essential Indicators 4-5 — Input Material Sourcing &amp; Job Creation in Smaller Towns</t>
  </si>
  <si>
    <t xml:space="preserve">Table 4 — Percentage of input material (inputs to total inputs by value) sourced from suppliers</t>
  </si>
  <si>
    <t xml:space="preserve">Directly sourced from MSMEs / small producers</t>
  </si>
  <si>
    <t xml:space="preserve">9%</t>
  </si>
  <si>
    <t xml:space="preserve">11%</t>
  </si>
  <si>
    <t xml:space="preserve">3.9%</t>
  </si>
  <si>
    <t xml:space="preserve">3.0%</t>
  </si>
  <si>
    <t xml:space="preserve">11.79%</t>
  </si>
  <si>
    <t xml:space="preserve">12.83%</t>
  </si>
  <si>
    <t xml:space="preserve">11.63%</t>
  </si>
  <si>
    <t xml:space="preserve">0.10%</t>
  </si>
  <si>
    <t xml:space="preserve">0.11%*</t>
  </si>
  <si>
    <t xml:space="preserve">19% [FY24 rpt] / 5.53% [FY25 rpt, restated]</t>
  </si>
  <si>
    <t xml:space="preserve">ICICI's FY25 figure is calculated on a cash-payment basis and follows SEBI Industry Standards Forum guidance (per the bank's own footnote) — flagged as a possible methodology difference vs FY23/FY24. || SBI: *FY24 figure represents procurement through MSME as % of total purchases (revenue purchases excl. depreciation/insurance + capex + assets under construction). || SFL: SFL's FY24 report itself restated FY23 (from an earlier unreported figure to 9%, per its own footnote about conducting FY23 producer-identification retroactively). Then the FY25 report further restates FY24 from 19% to 5.53% under the new SEBI Industry Standards Forum methodology.</t>
  </si>
  <si>
    <t xml:space="preserve">Directly sourced from within India</t>
  </si>
  <si>
    <t xml:space="preserve">98.5%</t>
  </si>
  <si>
    <t xml:space="preserve">98.0%</t>
  </si>
  <si>
    <t xml:space="preserve">98%</t>
  </si>
  <si>
    <t xml:space="preserve">98.81%</t>
  </si>
  <si>
    <t xml:space="preserve">98.42%</t>
  </si>
  <si>
    <t xml:space="preserve">97.28%</t>
  </si>
  <si>
    <t xml:space="preserve">97.39%</t>
  </si>
  <si>
    <t xml:space="preserve">97.23%</t>
  </si>
  <si>
    <t xml:space="preserve">22% [FY24 rpt] / 94.10% [FY25 rpt, restated]</t>
  </si>
  <si>
    <t xml:space="preserve">82.37%</t>
  </si>
  <si>
    <t xml:space="preserve">SFL: This is the largest restatement anywhere in this workbook: SFL's 'Directly from within India' figure for FY24 moves from 22% to 94.10% between the two reports — almost certainly reflecting a fundamentally different calculation base under the new methodology, not an operational change.</t>
  </si>
  <si>
    <t xml:space="preserve">Independent assurance obtained (Table 4)?</t>
  </si>
  <si>
    <t xml:space="preserve">Table 5 — Job creation in smaller towns: wages/remuneration paid by employee location, as % of total wage cost</t>
  </si>
  <si>
    <t xml:space="preserve">Rural</t>
  </si>
  <si>
    <t xml:space="preserve">% of total wage cost</t>
  </si>
  <si>
    <t xml:space="preserve">Not available (current-year + prior-year only in source reports; no FY22-23 comparator was disclosed by Axis for this table)</t>
  </si>
  <si>
    <t xml:space="preserve">3.87%</t>
  </si>
  <si>
    <t xml:space="preserve">3%</t>
  </si>
  <si>
    <t xml:space="preserve">4%</t>
  </si>
  <si>
    <t xml:space="preserve">2%</t>
  </si>
  <si>
    <t xml:space="preserve">14.46%</t>
  </si>
  <si>
    <t xml:space="preserve">14.13%</t>
  </si>
  <si>
    <t xml:space="preserve">14.12%</t>
  </si>
  <si>
    <t xml:space="preserve">37.52%</t>
  </si>
  <si>
    <t xml:space="preserve">39.47% [FY24 rpt] / 8.46% [FY25 rpt, restated]</t>
  </si>
  <si>
    <t xml:space="preserve">8.63%</t>
  </si>
  <si>
    <t xml:space="preserve">SFL: Job-creation-by-location figures were also substantially restated for FY24 under the new methodology (Rural 39.47%→8.46%); treat SFL's location-mix trend with caution given the methodology break between FY24 and FY25 reports.</t>
  </si>
  <si>
    <t xml:space="preserve">Semi-urban</t>
  </si>
  <si>
    <t xml:space="preserve">9.7%</t>
  </si>
  <si>
    <t xml:space="preserve">11.76%</t>
  </si>
  <si>
    <t xml:space="preserve">15%</t>
  </si>
  <si>
    <t xml:space="preserve">16%</t>
  </si>
  <si>
    <t xml:space="preserve">14%</t>
  </si>
  <si>
    <t xml:space="preserve">8%</t>
  </si>
  <si>
    <t xml:space="preserve">24.88%</t>
  </si>
  <si>
    <t xml:space="preserve">24.43%</t>
  </si>
  <si>
    <t xml:space="preserve">23.84%</t>
  </si>
  <si>
    <t xml:space="preserve">35.53%</t>
  </si>
  <si>
    <t xml:space="preserve">36.05% [FY24 rpt] / 39.35% [FY25 rpt, restated]</t>
  </si>
  <si>
    <t xml:space="preserve">38.52%</t>
  </si>
  <si>
    <t xml:space="preserve">Urban</t>
  </si>
  <si>
    <t xml:space="preserve">19.5%</t>
  </si>
  <si>
    <t xml:space="preserve">23.31%</t>
  </si>
  <si>
    <t xml:space="preserve">22%</t>
  </si>
  <si>
    <t xml:space="preserve">21%</t>
  </si>
  <si>
    <t xml:space="preserve">28.03%</t>
  </si>
  <si>
    <t xml:space="preserve">28.47%</t>
  </si>
  <si>
    <t xml:space="preserve">28.46%</t>
  </si>
  <si>
    <t xml:space="preserve">23.36%</t>
  </si>
  <si>
    <t xml:space="preserve">22.03% [FY24 rpt] / 40.96% [FY25 rpt, restated]</t>
  </si>
  <si>
    <t xml:space="preserve">40.34%</t>
  </si>
  <si>
    <t xml:space="preserve">Metropolitan</t>
  </si>
  <si>
    <t xml:space="preserve">66.9%</t>
  </si>
  <si>
    <t xml:space="preserve">61.05%</t>
  </si>
  <si>
    <t xml:space="preserve">60%</t>
  </si>
  <si>
    <t xml:space="preserve">59%</t>
  </si>
  <si>
    <t xml:space="preserve">71%</t>
  </si>
  <si>
    <t xml:space="preserve">69%</t>
  </si>
  <si>
    <t xml:space="preserve">68%</t>
  </si>
  <si>
    <t xml:space="preserve">32.63%</t>
  </si>
  <si>
    <t xml:space="preserve">32.98%</t>
  </si>
  <si>
    <t xml:space="preserve">33.57%</t>
  </si>
  <si>
    <t xml:space="preserve">3.59%</t>
  </si>
  <si>
    <t xml:space="preserve">2.44% [FY24 rpt] / 11.23% [FY25 rpt, restated]</t>
  </si>
  <si>
    <t xml:space="preserve">12.52%</t>
  </si>
  <si>
    <t xml:space="preserve">HDFC's 'Metropolitan' category includes employees posted at overseas locations. All banks classify locations per RBI's rural/semi-urban/urban/metropolitan system (Axis &amp; ICICI also cite Census 2011).</t>
  </si>
  <si>
    <t xml:space="preserve">Independent assurance obtained (Table 5)?</t>
  </si>
  <si>
    <t xml:space="preserve">SUMMARY &amp; SUSTAINABILITY SCORECARD — Axis, HDFC, ICICI, SBI &amp; Shriram Finance (SFL), FY25</t>
  </si>
  <si>
    <t xml:space="preserve">All figures are FY25 (the latest year in every sheet of this workbook), pulled directly from Sheets 1-14. See each linked sheet for FY23/FY24 detail, units, and source notes.</t>
  </si>
  <si>
    <t xml:space="preserve">METHODOLOGY</t>
  </si>
  <si>
    <t xml:space="preserve">• This scorecard selects 11 metrics that (a) are disclosed by all 5 entities and (b) can be placed on a common footing (mostly per-employee or % terms), spanning Environment (4), Social (5) and Governance (2).</t>
  </si>
  <si>
    <t xml:space="preserve">• For each metric, the 5 entities are ranked 1 (worst) to 5 (best); scores are summed across all 11 metrics (max possible = 55, min = 11, average/neutral = 33). The entity with the highest total score ranks best overall.</t>
  </si>
  <si>
    <t xml:space="preserve">• Where a value is missing (Axis's water-intensity-per-employee is 'Not Available' in all years), that entity is given a neutral mid-table score for that one metric rather than being penalised or excluded.</t>
  </si>
  <si>
    <t xml:space="preserve">• IMPORTANT CAVEAT: Shriram Finance (SFL) is a Non-Banking Financial Company (NBFC), not a bank — roughly 5-30x smaller by headcount/scale than the 4 banks, with a different business model (vehicle/gold/personal-loan financing vs. deposit-taking banking). Per-employee and per-scale metrics structurally favour smaller, less capital/branch-intensive entities. A secondary 'banks-only' ranking (Axis/HDFC/ICICI/SBI) is also provided for a stricter like-for-like comparison.</t>
  </si>
  <si>
    <t xml:space="preserve">• This is a transparent, equal-weighted scorecard for illustrative comparison — not an official ESG rating. Reasonable people could weight these metrics differently (e.g. underweighting scale-sensitive metrics, or weighting governance more heavily) and arrive at a different order, especially for entities that finish close together.</t>
  </si>
  <si>
    <t xml:space="preserve">TABLE 1 — KEY METRICS AT A GLANCE (FY25)</t>
  </si>
  <si>
    <t xml:space="preserve">Unit / direction</t>
  </si>
  <si>
    <t xml:space="preserve">E1. Scope 1+2 GHG emissions intensity</t>
  </si>
  <si>
    <t xml:space="preserve">tCO2e / FTE (lower better)</t>
  </si>
  <si>
    <t xml:space="preserve">E2. Renewable energy share of total energy consumed</t>
  </si>
  <si>
    <t xml:space="preserve">% (higher better)</t>
  </si>
  <si>
    <t xml:space="preserve">8.78%</t>
  </si>
  <si>
    <t xml:space="preserve">3.22%</t>
  </si>
  <si>
    <t xml:space="preserve">30.18%</t>
  </si>
  <si>
    <t xml:space="preserve">7.20%</t>
  </si>
  <si>
    <t xml:space="preserve">E3. Water consumption intensity</t>
  </si>
  <si>
    <t xml:space="preserve">KL / FTE (lower better; Axis N/A → neutral score)</t>
  </si>
  <si>
    <t xml:space="preserve">E4. Waste recovery rate (recycled+reused+other recovery ÷ total generated)</t>
  </si>
  <si>
    <t xml:space="preserve">10.4%</t>
  </si>
  <si>
    <t xml:space="preserve">98.4%</t>
  </si>
  <si>
    <t xml:space="preserve">17.1%</t>
  </si>
  <si>
    <t xml:space="preserve">S1. Gender diversity — women as % of total employees</t>
  </si>
  <si>
    <t xml:space="preserve">26.65%</t>
  </si>
  <si>
    <t xml:space="preserve">26.14%</t>
  </si>
  <si>
    <t xml:space="preserve">32.07%</t>
  </si>
  <si>
    <t xml:space="preserve">27.60%</t>
  </si>
  <si>
    <t xml:space="preserve">13.29%</t>
  </si>
  <si>
    <t xml:space="preserve">S2. Employee turnover rate (permanent employees, total)</t>
  </si>
  <si>
    <t xml:space="preserve">% (lower better)</t>
  </si>
  <si>
    <t xml:space="preserve">S3. PoSH complaints as % of female employees</t>
  </si>
  <si>
    <t xml:space="preserve">S4. Human-rights/employee training coverage</t>
  </si>
  <si>
    <t xml:space="preserve">% of employees covered (higher better)</t>
  </si>
  <si>
    <t xml:space="preserve">S5. Job creation in smaller towns (Rural + Semi-urban wage share)</t>
  </si>
  <si>
    <t xml:space="preserve">% of total wage cost (higher better)</t>
  </si>
  <si>
    <t xml:space="preserve">15.63%</t>
  </si>
  <si>
    <t xml:space="preserve">18%</t>
  </si>
  <si>
    <t xml:space="preserve">37.96%</t>
  </si>
  <si>
    <t xml:space="preserve">47.15%</t>
  </si>
  <si>
    <t xml:space="preserve">G1. Related-party transaction concentration (avg of Purchases/Sales/Loans/Investments share)</t>
  </si>
  <si>
    <t xml:space="preserve">1.02%</t>
  </si>
  <si>
    <t xml:space="preserve">1.38%</t>
  </si>
  <si>
    <t xml:space="preserve">1.80%</t>
  </si>
  <si>
    <t xml:space="preserve">0.22%</t>
  </si>
  <si>
    <t xml:space="preserve">6.83%</t>
  </si>
  <si>
    <t xml:space="preserve">G2. Consumer complaints received per 1,000 employees</t>
  </si>
  <si>
    <t xml:space="preserve">count (lower better)</t>
  </si>
  <si>
    <t xml:space="preserve">TABLE 2 — SCORECARD (each metric ranked 1=worst to 5=best across the 5 entities)</t>
  </si>
  <si>
    <t xml:space="preserve">Pillar</t>
  </si>
  <si>
    <t xml:space="preserve">Environment</t>
  </si>
  <si>
    <t xml:space="preserve">Social</t>
  </si>
  <si>
    <t xml:space="preserve">Governance</t>
  </si>
  <si>
    <t xml:space="preserve">Environment subtotal</t>
  </si>
  <si>
    <t xml:space="preserve">Social subtotal</t>
  </si>
  <si>
    <t xml:space="preserve">Governance subtotal</t>
  </si>
  <si>
    <t xml:space="preserve">TOTAL SCORE (out of 55)</t>
  </si>
  <si>
    <t xml:space="preserve">TABLE 3 — FINAL RANK ORDER (combined view, all 5 entities, best to worst)</t>
  </si>
  <si>
    <t xml:space="preserve">Rank</t>
  </si>
  <si>
    <t xml:space="preserve">Entity</t>
  </si>
  <si>
    <t xml:space="preserve">Total Score (/55)</t>
  </si>
  <si>
    <t xml:space="preserve">One-line takeaway</t>
  </si>
  <si>
    <t xml:space="preserve">Best overall score, but driven substantially by its much smaller NBFC scale (lower absolute GHG/water/waste footprint, fewer complaints) — see caveat above and Table 4.</t>
  </si>
  <si>
    <t xml:space="preserve">Standout on employee turnover, gender diversity, RPT discipline and smaller-town job creation; let down by very low FY25 human-rights training coverage (9.47%, down from 17% in FY24).</t>
  </si>
  <si>
    <t xml:space="preserve">Strongest environmental profile among the banks (highest renewable share, best waste recovery, best GHG intensity) and best gender diversity; weakest on RPT concentration and PoSH complaint rate.</t>
  </si>
  <si>
    <t xml:space="preserve">Best water-intensity performance and strong training coverage; weakest waste-recovery rate (10.4%) and lower renewable energy share drag down its environmental score.</t>
  </si>
  <si>
    <t xml:space="preserve">Solid, middle-of-the-pack across most metrics with no major red flags, but no standout top-ranked metric either — lowest combined score of the five.</t>
  </si>
  <si>
    <t xml:space="preserve">TABLE 4 — BANKS-ONLY RANK ORDER (Axis, HDFC, ICICI, SBI — excludes SFL for a stricter like-for-like comparison; also excludes the water-intensity metric since Axis has no data for it)</t>
  </si>
  <si>
    <t xml:space="preserve">Total Score (/40, 10 metrics)</t>
  </si>
  <si>
    <t xml:space="preserve">Note</t>
  </si>
  <si>
    <t xml:space="preserve">Best environmental profile (renewable share, waste recovery, GHG intensity) and best gender diversity among the 4 banks; held back by the weakest RPT and PoSH scores.</t>
  </si>
  <si>
    <t xml:space="preserve">Best on turnover, RPT discipline and smaller-town job creation, but dragged down by a very weak FY25 training-coverage figure.</t>
  </si>
  <si>
    <t xml:space="preserve">Consistently mid-table on almost every metric — no major weaknesses, no standout strengths.</t>
  </si>
  <si>
    <t xml:space="preserve">Best water-intensity and strong training coverage, but the weakest waste-recovery rate of the group pulls it to last place.</t>
  </si>
  <si>
    <t xml:space="preserve">HOW TO READ THIS SCORECARD</t>
  </si>
  <si>
    <t xml:space="preserve">• The gaps between entities are often small (31-35 out of 55 in the combined table; 23-27 out of 40 in the banks-only table) — treat this as 'broadly comparable performers with different strengths and weaknesses', not a wide quality spread.</t>
  </si>
  <si>
    <t xml:space="preserve">• SBI's and Axis's FY25 human-rights-training coverage figures (9.47% and 90.6% respectively) sit at very different points vs their own FY24 figures (17% and 89.66%) — SBI's is a genuine, large drop worth investigating further; treat single-year training figures with some caution and check the trend in Sheet 1.</t>
  </si>
  <si>
    <t xml:space="preserve">• This scorecard uses FY25 only (a single year) for simplicity. Several entities show meaningful year-on-year movement (e.g. ICICI and SBI's turnover both fell sharply from FY23 to FY25) — a 3-year-average version of this scorecard could produce a different order and would smooth out one-off swings.</t>
  </si>
  <si>
    <t xml:space="preserve">• Governance metrics here are narrow proxies (RPT concentration, complaint volume) — they do not capture board independence, audit quality, related-party approval processes, or regulatory action history, which a fuller governance assessment would include.</t>
  </si>
  <si>
    <t xml:space="preserve">• For the full detail behind every number in this sheet — including FY23/FY24 comparators, units, restatement flags and source-report footnotes — see Sheets 1-14 and their individual Notes columns.</t>
  </si>
</sst>
</file>

<file path=xl/styles.xml><?xml version="1.0" encoding="utf-8"?>
<styleSheet xmlns="http://schemas.openxmlformats.org/spreadsheetml/2006/main">
  <numFmts count="2">
    <numFmt numFmtId="164" formatCode="General"/>
    <numFmt numFmtId="165" formatCode="General"/>
  </numFmts>
  <fonts count="27">
    <font>
      <sz val="11"/>
      <color theme="1"/>
      <name val="Calibri"/>
      <family val="2"/>
      <charset val="1"/>
    </font>
    <font>
      <sz val="10"/>
      <name val="Arial"/>
      <family val="0"/>
    </font>
    <font>
      <sz val="10"/>
      <name val="Arial"/>
      <family val="0"/>
    </font>
    <font>
      <sz val="10"/>
      <name val="Arial"/>
      <family val="0"/>
    </font>
    <font>
      <b val="true"/>
      <sz val="15"/>
      <color rgb="FF1F4E78"/>
      <name val="Arial"/>
      <family val="0"/>
      <charset val="1"/>
    </font>
    <font>
      <sz val="12"/>
      <color rgb="FF000000"/>
      <name val="Arial"/>
      <family val="0"/>
      <charset val="1"/>
    </font>
    <font>
      <sz val="10"/>
      <color rgb="FF000000"/>
      <name val="Arial"/>
      <family val="0"/>
      <charset val="1"/>
    </font>
    <font>
      <b val="true"/>
      <sz val="10"/>
      <color rgb="FF1F4E78"/>
      <name val="Arial"/>
      <family val="0"/>
      <charset val="1"/>
    </font>
    <font>
      <b val="true"/>
      <sz val="11"/>
      <color rgb="FF1F4E78"/>
      <name val="Arial"/>
      <family val="0"/>
      <charset val="1"/>
    </font>
    <font>
      <b val="true"/>
      <sz val="12"/>
      <color rgb="FF1F4E78"/>
      <name val="Arial"/>
      <family val="0"/>
      <charset val="1"/>
    </font>
    <font>
      <b val="true"/>
      <sz val="10"/>
      <color rgb="FFFFFFFF"/>
      <name val="Arial"/>
      <family val="0"/>
      <charset val="1"/>
    </font>
    <font>
      <sz val="10"/>
      <name val="Arial"/>
      <family val="0"/>
      <charset val="1"/>
    </font>
    <font>
      <i val="true"/>
      <sz val="9"/>
      <name val="Arial"/>
      <family val="0"/>
      <charset val="1"/>
    </font>
    <font>
      <i val="true"/>
      <sz val="9"/>
      <color rgb="FF7F6000"/>
      <name val="Arial"/>
      <family val="0"/>
      <charset val="1"/>
    </font>
    <font>
      <b val="true"/>
      <sz val="10"/>
      <name val="Arial"/>
      <family val="0"/>
      <charset val="1"/>
    </font>
    <font>
      <b val="true"/>
      <sz val="9"/>
      <color rgb="FFFFFFFF"/>
      <name val="Arial"/>
      <family val="0"/>
      <charset val="1"/>
    </font>
    <font>
      <b val="true"/>
      <sz val="9"/>
      <color rgb="FF7F6000"/>
      <name val="Arial"/>
      <family val="0"/>
      <charset val="1"/>
    </font>
    <font>
      <sz val="9"/>
      <color rgb="FF7F6000"/>
      <name val="Arial"/>
      <family val="0"/>
      <charset val="1"/>
    </font>
    <font>
      <b val="true"/>
      <sz val="14"/>
      <color rgb="FF1F4E78"/>
      <name val="Arial"/>
      <family val="0"/>
      <charset val="1"/>
    </font>
    <font>
      <i val="true"/>
      <sz val="10"/>
      <color rgb="FF595959"/>
      <name val="Arial"/>
      <family val="0"/>
      <charset val="1"/>
    </font>
    <font>
      <b val="true"/>
      <sz val="11"/>
      <color rgb="FFFFFFFF"/>
      <name val="Arial"/>
      <family val="0"/>
      <charset val="1"/>
    </font>
    <font>
      <sz val="9.5"/>
      <name val="Arial"/>
      <family val="0"/>
      <charset val="1"/>
    </font>
    <font>
      <i val="true"/>
      <sz val="8.5"/>
      <name val="Arial"/>
      <family val="0"/>
      <charset val="1"/>
    </font>
    <font>
      <b val="true"/>
      <sz val="11"/>
      <name val="Arial"/>
      <family val="0"/>
      <charset val="1"/>
    </font>
    <font>
      <b val="true"/>
      <sz val="12"/>
      <color rgb="FFFFFFFF"/>
      <name val="Arial"/>
      <family val="0"/>
      <charset val="1"/>
    </font>
    <font>
      <b val="true"/>
      <sz val="12"/>
      <name val="Arial"/>
      <family val="0"/>
      <charset val="1"/>
    </font>
    <font>
      <sz val="9"/>
      <name val="Arial"/>
      <family val="0"/>
      <charset val="1"/>
    </font>
  </fonts>
  <fills count="15">
    <fill>
      <patternFill patternType="none"/>
    </fill>
    <fill>
      <patternFill patternType="gray125"/>
    </fill>
    <fill>
      <patternFill patternType="solid">
        <fgColor rgb="FF000000"/>
        <bgColor rgb="FF003300"/>
      </patternFill>
    </fill>
    <fill>
      <patternFill patternType="solid">
        <fgColor rgb="FF1F4E78"/>
        <bgColor rgb="FF003366"/>
      </patternFill>
    </fill>
    <fill>
      <patternFill patternType="solid">
        <fgColor rgb="FFD9E1F2"/>
        <bgColor rgb="FFD6DCE4"/>
      </patternFill>
    </fill>
    <fill>
      <patternFill patternType="solid">
        <fgColor rgb="FFFCE4D6"/>
        <bgColor rgb="FFFCE4EC"/>
      </patternFill>
    </fill>
    <fill>
      <patternFill patternType="solid">
        <fgColor rgb="FFE2EFDA"/>
        <bgColor rgb="FFE4DFEC"/>
      </patternFill>
    </fill>
    <fill>
      <patternFill patternType="solid">
        <fgColor rgb="FFE4DFEC"/>
        <bgColor rgb="FFD9E1F2"/>
      </patternFill>
    </fill>
    <fill>
      <patternFill patternType="solid">
        <fgColor rgb="FFFCE4EC"/>
        <bgColor rgb="FFFCE4D6"/>
      </patternFill>
    </fill>
    <fill>
      <patternFill patternType="solid">
        <fgColor rgb="FFFFF2CC"/>
        <bgColor rgb="FFFCE4D6"/>
      </patternFill>
    </fill>
    <fill>
      <patternFill patternType="solid">
        <fgColor rgb="FFD6DCE4"/>
        <bgColor rgb="FFD9E1F2"/>
      </patternFill>
    </fill>
    <fill>
      <patternFill patternType="solid">
        <fgColor rgb="FF2E75B6"/>
        <bgColor rgb="FF0066CC"/>
      </patternFill>
    </fill>
    <fill>
      <patternFill patternType="solid">
        <fgColor rgb="FFFFEB9C"/>
        <bgColor rgb="FFFFF2CC"/>
      </patternFill>
    </fill>
    <fill>
      <patternFill patternType="solid">
        <fgColor rgb="FFFFC7CE"/>
        <bgColor rgb="FFFCE4D6"/>
      </patternFill>
    </fill>
    <fill>
      <patternFill patternType="solid">
        <fgColor rgb="FFC6EFCE"/>
        <bgColor rgb="FFE2EFDA"/>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4" fillId="7" borderId="1" xfId="0" applyFont="true" applyBorder="tru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4" fillId="8" borderId="1" xfId="0" applyFont="true" applyBorder="true" applyAlignment="true" applyProtection="false">
      <alignment horizontal="general" vertical="top" textRotation="0" wrapText="false" indent="0" shrinkToFit="false"/>
      <protection locked="true" hidden="false"/>
    </xf>
    <xf numFmtId="164" fontId="11" fillId="8"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general" vertical="bottom" textRotation="0" wrapText="false" indent="0" shrinkToFit="false"/>
      <protection locked="true" hidden="false"/>
    </xf>
    <xf numFmtId="165" fontId="14" fillId="10" borderId="1" xfId="0" applyFont="true" applyBorder="true" applyAlignment="true" applyProtection="false">
      <alignment horizontal="center" vertical="center" textRotation="0" wrapText="false" indent="0" shrinkToFit="false"/>
      <protection locked="true" hidden="false"/>
    </xf>
    <xf numFmtId="164" fontId="16" fillId="9" borderId="0" xfId="0" applyFont="true" applyBorder="true" applyAlignment="true" applyProtection="false">
      <alignment horizontal="general" vertical="top" textRotation="0" wrapText="true" indent="0" shrinkToFit="false"/>
      <protection locked="true" hidden="false"/>
    </xf>
    <xf numFmtId="164" fontId="17" fillId="9" borderId="0" xfId="0" applyFont="true" applyBorder="true" applyAlignment="true" applyProtection="false">
      <alignment horizontal="general" vertical="top" textRotation="0" wrapText="true" indent="0" shrinkToFit="false"/>
      <protection locked="true" hidden="false"/>
    </xf>
    <xf numFmtId="164" fontId="10" fillId="11" borderId="1"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11" borderId="0"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12" borderId="1" xfId="0" applyFont="true" applyBorder="true" applyAlignment="true" applyProtection="false">
      <alignment horizontal="center" vertical="center" textRotation="0" wrapText="true" indent="0" shrinkToFit="false"/>
      <protection locked="true" hidden="false"/>
    </xf>
    <xf numFmtId="164" fontId="23" fillId="13" borderId="1" xfId="0" applyFont="true" applyBorder="true" applyAlignment="true" applyProtection="false">
      <alignment horizontal="center" vertical="center" textRotation="0" wrapText="true" indent="0" shrinkToFit="false"/>
      <protection locked="true" hidden="false"/>
    </xf>
    <xf numFmtId="164" fontId="23" fillId="14" borderId="1" xfId="0" applyFont="true" applyBorder="true" applyAlignment="true" applyProtection="false">
      <alignment horizontal="center" vertical="center" textRotation="0" wrapText="tru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5" fontId="14" fillId="10"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5" fontId="24" fillId="3" borderId="1" xfId="0" applyFont="true" applyBorder="true" applyAlignment="true" applyProtection="false">
      <alignment horizontal="center" vertical="center" textRotation="0" wrapText="tru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4" fontId="23" fillId="8" borderId="1" xfId="0" applyFont="true" applyBorder="true" applyAlignment="true" applyProtection="false">
      <alignment horizontal="center" vertical="center" textRotation="0" wrapText="true" indent="0" shrinkToFit="false"/>
      <protection locked="true" hidden="false"/>
    </xf>
    <xf numFmtId="165" fontId="23"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4" fontId="23" fillId="6" borderId="1"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7B7"/>
      <rgbColor rgb="FF808080"/>
      <rgbColor rgb="FF9999FF"/>
      <rgbColor rgb="FF993366"/>
      <rgbColor rgb="FFFFF2CC"/>
      <rgbColor rgb="FFE2EFDA"/>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D9E1F2"/>
      <rgbColor rgb="FFC6EFCE"/>
      <rgbColor rgb="FFFFEB9C"/>
      <rgbColor rgb="FFE4DFEC"/>
      <rgbColor rgb="FFFCE4D6"/>
      <rgbColor rgb="FFFCE4EC"/>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4" t="s">
        <v>2</v>
      </c>
    </row>
    <row r="5" customFormat="false" ht="23.25" hidden="false" customHeight="true" outlineLevel="0" collapsed="false">
      <c r="A5" s="5" t="s">
        <v>3</v>
      </c>
    </row>
    <row r="6" customFormat="false" ht="15" hidden="false" customHeight="true" outlineLevel="0" collapsed="false">
      <c r="A6" s="5" t="s">
        <v>4</v>
      </c>
    </row>
    <row r="7" customFormat="false" ht="15" hidden="false" customHeight="true" outlineLevel="0" collapsed="false">
      <c r="A7" s="5" t="s">
        <v>5</v>
      </c>
    </row>
    <row r="8" customFormat="false" ht="23.25" hidden="false" customHeight="true" outlineLevel="0" collapsed="false">
      <c r="A8" s="5" t="s">
        <v>6</v>
      </c>
    </row>
    <row r="9" customFormat="false" ht="15" hidden="false" customHeight="true" outlineLevel="0" collapsed="false">
      <c r="A9" s="5" t="s">
        <v>7</v>
      </c>
    </row>
    <row r="10" customFormat="false" ht="15" hidden="false" customHeight="true" outlineLevel="0" collapsed="false">
      <c r="A10" s="5" t="s">
        <v>8</v>
      </c>
    </row>
    <row r="11" customFormat="false" ht="15" hidden="false" customHeight="true" outlineLevel="0" collapsed="false">
      <c r="A11" s="4"/>
    </row>
    <row r="12" customFormat="false" ht="15" hidden="false" customHeight="true" outlineLevel="0" collapsed="false">
      <c r="A12" s="6" t="s">
        <v>9</v>
      </c>
    </row>
    <row r="13" customFormat="false" ht="15" hidden="false" customHeight="true" outlineLevel="0" collapsed="false">
      <c r="A13" s="4" t="s">
        <v>10</v>
      </c>
    </row>
    <row r="14" customFormat="false" ht="15" hidden="false" customHeight="true" outlineLevel="0" collapsed="false">
      <c r="A14" s="4" t="s">
        <v>11</v>
      </c>
    </row>
    <row r="15" customFormat="false" ht="15" hidden="false" customHeight="true" outlineLevel="0" collapsed="false">
      <c r="A15" s="4" t="s">
        <v>12</v>
      </c>
    </row>
    <row r="16" customFormat="false" ht="23.25" hidden="false" customHeight="true" outlineLevel="0" collapsed="false">
      <c r="A16" s="4" t="s">
        <v>13</v>
      </c>
    </row>
    <row r="17" customFormat="false" ht="15" hidden="false" customHeight="true" outlineLevel="0" collapsed="false">
      <c r="A17" s="4" t="s">
        <v>14</v>
      </c>
    </row>
    <row r="18" customFormat="false" ht="15" hidden="false" customHeight="true" outlineLevel="0" collapsed="false">
      <c r="A18" s="4"/>
    </row>
    <row r="19" customFormat="false" ht="15" hidden="false" customHeight="true" outlineLevel="0" collapsed="false">
      <c r="A19" s="6" t="s">
        <v>15</v>
      </c>
    </row>
    <row r="20" customFormat="false" ht="15" hidden="false" customHeight="true" outlineLevel="0" collapsed="false">
      <c r="A20" s="4" t="s">
        <v>16</v>
      </c>
    </row>
    <row r="21" customFormat="false" ht="15" hidden="false" customHeight="true" outlineLevel="0" collapsed="false">
      <c r="A21" s="4" t="s">
        <v>17</v>
      </c>
    </row>
    <row r="22" customFormat="false" ht="15" hidden="false" customHeight="true" outlineLevel="0" collapsed="false">
      <c r="A22" s="4" t="s">
        <v>18</v>
      </c>
    </row>
    <row r="23" customFormat="false" ht="15" hidden="false" customHeight="true" outlineLevel="0" collapsed="false">
      <c r="A23" s="4" t="s">
        <v>19</v>
      </c>
    </row>
    <row r="24" customFormat="false" ht="15" hidden="false" customHeight="true" outlineLevel="0" collapsed="false">
      <c r="A24" s="4" t="s">
        <v>20</v>
      </c>
    </row>
    <row r="25" customFormat="false" ht="15" hidden="false" customHeight="true" outlineLevel="0" collapsed="false">
      <c r="A25" s="4"/>
    </row>
    <row r="26" customFormat="false" ht="15" hidden="false" customHeight="true" outlineLevel="0" collapsed="false">
      <c r="A26" s="6" t="s">
        <v>21</v>
      </c>
    </row>
    <row r="27" customFormat="false" ht="34.5" hidden="false" customHeight="true" outlineLevel="0" collapsed="false">
      <c r="A27" s="4" t="s">
        <v>22</v>
      </c>
    </row>
    <row r="28" customFormat="false" ht="15" hidden="false" customHeight="true" outlineLevel="0" collapsed="false">
      <c r="A28" s="4" t="s">
        <v>23</v>
      </c>
    </row>
    <row r="29" customFormat="false" ht="15" hidden="false" customHeight="true" outlineLevel="0" collapsed="false">
      <c r="A29" s="4" t="s">
        <v>24</v>
      </c>
    </row>
    <row r="30" customFormat="false" ht="15" hidden="false" customHeight="true" outlineLevel="0" collapsed="false">
      <c r="A30" s="4" t="s">
        <v>25</v>
      </c>
    </row>
    <row r="31" customFormat="false" ht="15" hidden="false" customHeight="true" outlineLevel="0" collapsed="false">
      <c r="A31" s="4"/>
    </row>
    <row r="32" customFormat="false" ht="15" hidden="false" customHeight="true" outlineLevel="0" collapsed="false">
      <c r="A32" s="6" t="s">
        <v>26</v>
      </c>
    </row>
    <row r="33" customFormat="false" ht="15" hidden="false" customHeight="true" outlineLevel="0" collapsed="false">
      <c r="A33" s="5" t="s">
        <v>27</v>
      </c>
    </row>
    <row r="34" customFormat="false" ht="15" hidden="false" customHeight="true" outlineLevel="0" collapsed="false">
      <c r="A34" s="4" t="s">
        <v>28</v>
      </c>
    </row>
    <row r="35" customFormat="false" ht="15" hidden="false" customHeight="true" outlineLevel="0" collapsed="false">
      <c r="A35" s="5" t="s">
        <v>29</v>
      </c>
    </row>
    <row r="36" customFormat="false" ht="15" hidden="false" customHeight="true" outlineLevel="0" collapsed="false">
      <c r="A36" s="4" t="s">
        <v>30</v>
      </c>
    </row>
    <row r="37" customFormat="false" ht="34.5" hidden="false" customHeight="true" outlineLevel="0" collapsed="false">
      <c r="A37" s="5" t="s">
        <v>31</v>
      </c>
    </row>
    <row r="38" customFormat="false" ht="15" hidden="false" customHeight="true" outlineLevel="0" collapsed="false">
      <c r="A38" s="4" t="s">
        <v>32</v>
      </c>
    </row>
    <row r="39" customFormat="false" ht="15" hidden="false" customHeight="true" outlineLevel="0" collapsed="false">
      <c r="A39" s="4" t="s">
        <v>33</v>
      </c>
    </row>
    <row r="40" customFormat="false" ht="34.5" hidden="false" customHeight="true" outlineLevel="0" collapsed="false">
      <c r="A40" s="4" t="s">
        <v>34</v>
      </c>
    </row>
    <row r="41" customFormat="false" ht="15" hidden="false" customHeight="true" outlineLevel="0" collapsed="false">
      <c r="A41" s="5" t="s">
        <v>35</v>
      </c>
    </row>
    <row r="42" customFormat="false" ht="15" hidden="false" customHeight="true" outlineLevel="0" collapsed="false">
      <c r="A42" s="4" t="s">
        <v>36</v>
      </c>
    </row>
    <row r="43" customFormat="false" ht="34.5" hidden="false" customHeight="true" outlineLevel="0" collapsed="false">
      <c r="A43" s="4" t="s">
        <v>37</v>
      </c>
    </row>
    <row r="44" customFormat="false" ht="15" hidden="false" customHeight="true" outlineLevel="0" collapsed="false">
      <c r="A44" s="4" t="s">
        <v>38</v>
      </c>
    </row>
    <row r="45" customFormat="false" ht="15" hidden="false" customHeight="true" outlineLevel="0" collapsed="false">
      <c r="A45" s="4" t="s">
        <v>39</v>
      </c>
    </row>
    <row r="46" customFormat="false" ht="34.5" hidden="false" customHeight="true" outlineLevel="0" collapsed="false">
      <c r="A46" s="4" t="s">
        <v>40</v>
      </c>
    </row>
    <row r="47" customFormat="false" ht="15" hidden="false" customHeight="true" outlineLevel="0" collapsed="false">
      <c r="A47" s="4" t="s">
        <v>41</v>
      </c>
    </row>
    <row r="48" customFormat="false" ht="15" hidden="false" customHeight="true" outlineLevel="0" collapsed="false">
      <c r="A48" s="4" t="s">
        <v>42</v>
      </c>
    </row>
    <row r="49" customFormat="false" ht="15" hidden="false" customHeight="true" outlineLevel="0" collapsed="false">
      <c r="A49" s="5" t="s">
        <v>43</v>
      </c>
    </row>
    <row r="50" customFormat="false" ht="15" hidden="false" customHeight="true" outlineLevel="0" collapsed="false">
      <c r="A50" s="4" t="s">
        <v>44</v>
      </c>
    </row>
    <row r="51" customFormat="false" ht="15" hidden="false" customHeight="true" outlineLevel="0" collapsed="false">
      <c r="A51" s="5" t="s">
        <v>45</v>
      </c>
    </row>
    <row r="52" customFormat="false" ht="15" hidden="false" customHeight="true" outlineLevel="0" collapsed="false">
      <c r="A52" s="4" t="s">
        <v>46</v>
      </c>
    </row>
    <row r="53" customFormat="false" ht="15" hidden="false" customHeight="true" outlineLevel="0" collapsed="false">
      <c r="A53" s="4"/>
    </row>
    <row r="54" customFormat="false" ht="34.5" hidden="false" customHeight="true" outlineLevel="0" collapsed="false">
      <c r="A54" s="4" t="s">
        <v>47</v>
      </c>
    </row>
    <row r="55" customFormat="false" ht="34.5" hidden="false" customHeight="true" outlineLevel="0" collapsed="false">
      <c r="A55" s="4" t="s">
        <v>48</v>
      </c>
    </row>
    <row r="57" customFormat="false" ht="15" hidden="false" customHeight="false" outlineLevel="0" collapsed="false">
      <c r="A57" s="7" t="s">
        <v>49</v>
      </c>
    </row>
    <row r="58" customFormat="false" ht="15" hidden="false" customHeight="false" outlineLevel="0" collapsed="false">
      <c r="A58" s="4" t="s">
        <v>50</v>
      </c>
    </row>
    <row r="59" customFormat="false" ht="15" hidden="false" customHeight="false" outlineLevel="0" collapsed="false">
      <c r="A59" s="4" t="s">
        <v>51</v>
      </c>
    </row>
    <row r="60" customFormat="false" ht="15" hidden="false" customHeight="false" outlineLevel="0" collapsed="false">
      <c r="A60"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53</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4" customFormat="false" ht="15" hidden="false" customHeight="true" outlineLevel="0" collapsed="false">
      <c r="A4" s="11" t="s">
        <v>71</v>
      </c>
      <c r="B4" s="12" t="s">
        <v>72</v>
      </c>
      <c r="C4" s="13" t="n">
        <v>91898</v>
      </c>
      <c r="D4" s="13" t="n">
        <v>104332</v>
      </c>
      <c r="E4" s="13" t="n">
        <v>114401</v>
      </c>
      <c r="F4" s="14" t="n">
        <v>173255</v>
      </c>
      <c r="G4" s="14" t="n">
        <v>213565</v>
      </c>
      <c r="H4" s="14" t="n">
        <v>214552</v>
      </c>
      <c r="I4" s="15" t="n">
        <v>129005</v>
      </c>
      <c r="J4" s="15" t="n">
        <v>141009</v>
      </c>
      <c r="K4" s="15" t="n">
        <v>130957</v>
      </c>
      <c r="L4" s="16" t="n">
        <v>239502</v>
      </c>
      <c r="M4" s="16" t="n">
        <v>232991</v>
      </c>
      <c r="N4" s="16" t="n">
        <v>233531</v>
      </c>
      <c r="O4" s="17" t="n">
        <v>64052</v>
      </c>
      <c r="P4" s="17" t="n">
        <v>74645</v>
      </c>
      <c r="Q4" s="17" t="n">
        <v>79872</v>
      </c>
    </row>
    <row r="5" customFormat="false" ht="15" hidden="false" customHeight="true" outlineLevel="0" collapsed="false">
      <c r="A5" s="11" t="s">
        <v>73</v>
      </c>
      <c r="B5" s="12" t="s">
        <v>72</v>
      </c>
      <c r="C5" s="13" t="n">
        <v>91898</v>
      </c>
      <c r="D5" s="13" t="n">
        <v>104332</v>
      </c>
      <c r="E5" s="13" t="n">
        <v>103598</v>
      </c>
      <c r="F5" s="14" t="n">
        <v>128047</v>
      </c>
      <c r="G5" s="14" t="n">
        <v>193104</v>
      </c>
      <c r="H5" s="14" t="n">
        <v>204683</v>
      </c>
      <c r="I5" s="15" t="n">
        <v>128817</v>
      </c>
      <c r="J5" s="15" t="n">
        <v>140767</v>
      </c>
      <c r="K5" s="15" t="n">
        <v>104279</v>
      </c>
      <c r="L5" s="16" t="n">
        <v>24637</v>
      </c>
      <c r="M5" s="16" t="n">
        <v>39650</v>
      </c>
      <c r="N5" s="16" t="n">
        <v>22126</v>
      </c>
      <c r="O5" s="17" t="n">
        <v>26583</v>
      </c>
      <c r="P5" s="17" t="n">
        <v>70618</v>
      </c>
      <c r="Q5" s="17" t="n">
        <v>77498</v>
      </c>
    </row>
    <row r="6" customFormat="false" ht="32.25" hidden="false" customHeight="true" outlineLevel="0" collapsed="false">
      <c r="A6" s="11" t="s">
        <v>74</v>
      </c>
      <c r="B6" s="12" t="s">
        <v>75</v>
      </c>
      <c r="C6" s="13" t="s">
        <v>76</v>
      </c>
      <c r="D6" s="13" t="s">
        <v>76</v>
      </c>
      <c r="E6" s="13" t="s">
        <v>77</v>
      </c>
      <c r="F6" s="14" t="s">
        <v>78</v>
      </c>
      <c r="G6" s="14" t="s">
        <v>79</v>
      </c>
      <c r="H6" s="14" t="s">
        <v>80</v>
      </c>
      <c r="I6" s="15" t="s">
        <v>81</v>
      </c>
      <c r="J6" s="15" t="s">
        <v>82</v>
      </c>
      <c r="K6" s="15" t="s">
        <v>83</v>
      </c>
      <c r="L6" s="16" t="s">
        <v>84</v>
      </c>
      <c r="M6" s="16" t="s">
        <v>85</v>
      </c>
      <c r="N6" s="16" t="s">
        <v>86</v>
      </c>
      <c r="O6" s="17" t="s">
        <v>87</v>
      </c>
      <c r="P6" s="17" t="s">
        <v>88</v>
      </c>
      <c r="Q6" s="17" t="s">
        <v>89</v>
      </c>
      <c r="R6" s="18" t="s">
        <v>90</v>
      </c>
    </row>
    <row r="7" customFormat="false" ht="34.5" hidden="false" customHeight="true" outlineLevel="0" collapsed="false">
      <c r="A7" s="11" t="s">
        <v>91</v>
      </c>
      <c r="B7" s="12" t="s">
        <v>92</v>
      </c>
      <c r="C7" s="13" t="s">
        <v>93</v>
      </c>
      <c r="D7" s="13" t="s">
        <v>93</v>
      </c>
      <c r="E7" s="13" t="s">
        <v>93</v>
      </c>
      <c r="F7" s="14" t="s">
        <v>94</v>
      </c>
      <c r="G7" s="14" t="s">
        <v>95</v>
      </c>
      <c r="H7" s="14" t="s">
        <v>95</v>
      </c>
      <c r="I7" s="15" t="s">
        <v>96</v>
      </c>
      <c r="J7" s="15" t="s">
        <v>96</v>
      </c>
      <c r="K7" s="15" t="s">
        <v>96</v>
      </c>
      <c r="L7" s="16" t="s">
        <v>96</v>
      </c>
      <c r="M7" s="16" t="s">
        <v>96</v>
      </c>
      <c r="N7" s="16" t="s">
        <v>96</v>
      </c>
      <c r="O7" s="17" t="s">
        <v>96</v>
      </c>
      <c r="P7" s="17" t="s">
        <v>96</v>
      </c>
      <c r="Q7" s="17" t="s">
        <v>96</v>
      </c>
    </row>
    <row r="8" customFormat="false" ht="90.75" hidden="false" customHeight="true" outlineLevel="0" collapsed="false">
      <c r="A8" s="11" t="s">
        <v>97</v>
      </c>
      <c r="B8" s="12" t="s">
        <v>92</v>
      </c>
      <c r="C8" s="13" t="s">
        <v>98</v>
      </c>
      <c r="D8" s="13" t="s">
        <v>99</v>
      </c>
      <c r="E8" s="13" t="s">
        <v>100</v>
      </c>
      <c r="F8" s="14" t="s">
        <v>101</v>
      </c>
      <c r="G8" s="14" t="s">
        <v>102</v>
      </c>
      <c r="H8" s="14" t="s">
        <v>103</v>
      </c>
      <c r="I8" s="15" t="s">
        <v>104</v>
      </c>
      <c r="J8" s="15" t="s">
        <v>104</v>
      </c>
      <c r="K8" s="15" t="s">
        <v>104</v>
      </c>
      <c r="L8" s="16" t="s">
        <v>105</v>
      </c>
      <c r="M8" s="16" t="s">
        <v>106</v>
      </c>
      <c r="N8" s="16" t="s">
        <v>107</v>
      </c>
      <c r="O8" s="17" t="s">
        <v>108</v>
      </c>
      <c r="P8" s="17" t="s">
        <v>109</v>
      </c>
      <c r="Q8" s="17" t="s">
        <v>110</v>
      </c>
    </row>
    <row r="9" customFormat="false" ht="79.5" hidden="false" customHeight="true" outlineLevel="0" collapsed="false">
      <c r="A9" s="11" t="s">
        <v>111</v>
      </c>
      <c r="B9" s="12" t="s">
        <v>92</v>
      </c>
      <c r="C9" s="13" t="s">
        <v>112</v>
      </c>
      <c r="D9" s="13" t="s">
        <v>113</v>
      </c>
      <c r="E9" s="13" t="s">
        <v>114</v>
      </c>
      <c r="F9" s="14" t="s">
        <v>115</v>
      </c>
      <c r="G9" s="14" t="s">
        <v>116</v>
      </c>
      <c r="H9" s="14" t="s">
        <v>117</v>
      </c>
      <c r="I9" s="15" t="s">
        <v>104</v>
      </c>
      <c r="J9" s="15" t="s">
        <v>104</v>
      </c>
      <c r="K9" s="15" t="s">
        <v>104</v>
      </c>
      <c r="L9" s="16" t="s">
        <v>118</v>
      </c>
      <c r="M9" s="16" t="s">
        <v>119</v>
      </c>
      <c r="N9" s="16" t="s">
        <v>120</v>
      </c>
      <c r="O9" s="17" t="s">
        <v>96</v>
      </c>
      <c r="P9" s="17" t="s">
        <v>96</v>
      </c>
      <c r="Q9" s="17" t="s">
        <v>96</v>
      </c>
      <c r="R9" s="18" t="s">
        <v>121</v>
      </c>
    </row>
    <row r="10" customFormat="false" ht="23.25" hidden="false" customHeight="true" outlineLevel="0" collapsed="false">
      <c r="A10" s="11" t="s">
        <v>122</v>
      </c>
      <c r="B10" s="12" t="s">
        <v>92</v>
      </c>
      <c r="C10" s="13" t="s">
        <v>93</v>
      </c>
      <c r="D10" s="13" t="s">
        <v>93</v>
      </c>
      <c r="E10" s="13" t="s">
        <v>93</v>
      </c>
      <c r="F10" s="14" t="s">
        <v>95</v>
      </c>
      <c r="G10" s="14" t="s">
        <v>95</v>
      </c>
      <c r="H10" s="14" t="s">
        <v>95</v>
      </c>
      <c r="I10" s="15" t="s">
        <v>96</v>
      </c>
      <c r="J10" s="15" t="s">
        <v>96</v>
      </c>
      <c r="K10" s="15" t="s">
        <v>96</v>
      </c>
      <c r="L10" s="16" t="s">
        <v>96</v>
      </c>
      <c r="M10" s="16" t="s">
        <v>96</v>
      </c>
      <c r="N10" s="16" t="s">
        <v>96</v>
      </c>
      <c r="O10" s="17" t="s">
        <v>96</v>
      </c>
      <c r="P10" s="17" t="s">
        <v>96</v>
      </c>
      <c r="Q10" s="17" t="s">
        <v>96</v>
      </c>
    </row>
    <row r="11" customFormat="false" ht="79.5" hidden="false" customHeight="true" outlineLevel="0" collapsed="false">
      <c r="A11" s="11" t="s">
        <v>123</v>
      </c>
      <c r="B11" s="12" t="s">
        <v>124</v>
      </c>
      <c r="C11" s="13" t="s">
        <v>125</v>
      </c>
      <c r="D11" s="13" t="s">
        <v>125</v>
      </c>
      <c r="E11" s="13" t="s">
        <v>126</v>
      </c>
      <c r="F11" s="14" t="s">
        <v>125</v>
      </c>
      <c r="G11" s="14" t="s">
        <v>127</v>
      </c>
      <c r="H11" s="14" t="s">
        <v>128</v>
      </c>
      <c r="I11" s="15" t="s">
        <v>125</v>
      </c>
      <c r="J11" s="15" t="s">
        <v>129</v>
      </c>
      <c r="K11" s="15" t="s">
        <v>130</v>
      </c>
      <c r="L11" s="16" t="s">
        <v>131</v>
      </c>
      <c r="M11" s="16" t="s">
        <v>132</v>
      </c>
      <c r="N11" s="16" t="s">
        <v>133</v>
      </c>
      <c r="O11" s="17" t="s">
        <v>131</v>
      </c>
      <c r="P11" s="17" t="s">
        <v>134</v>
      </c>
      <c r="Q11" s="17" t="s">
        <v>135</v>
      </c>
      <c r="R11" s="18" t="s">
        <v>136</v>
      </c>
    </row>
    <row r="12" customFormat="false" ht="79.5" hidden="false" customHeight="true" outlineLevel="0" collapsed="false">
      <c r="A12" s="11" t="s">
        <v>137</v>
      </c>
      <c r="B12" s="12" t="s">
        <v>124</v>
      </c>
      <c r="C12" s="13" t="s">
        <v>125</v>
      </c>
      <c r="D12" s="13" t="s">
        <v>125</v>
      </c>
      <c r="E12" s="13" t="s">
        <v>138</v>
      </c>
      <c r="F12" s="14" t="s">
        <v>125</v>
      </c>
      <c r="G12" s="14" t="s">
        <v>139</v>
      </c>
      <c r="H12" s="14" t="s">
        <v>140</v>
      </c>
      <c r="I12" s="15" t="s">
        <v>125</v>
      </c>
      <c r="J12" s="15" t="s">
        <v>141</v>
      </c>
      <c r="K12" s="15" t="s">
        <v>142</v>
      </c>
      <c r="L12" s="16" t="s">
        <v>131</v>
      </c>
      <c r="M12" s="16" t="s">
        <v>143</v>
      </c>
      <c r="N12" s="16" t="s">
        <v>144</v>
      </c>
      <c r="O12" s="17" t="s">
        <v>131</v>
      </c>
      <c r="P12" s="17" t="s">
        <v>145</v>
      </c>
      <c r="Q12" s="17" t="s">
        <v>146</v>
      </c>
    </row>
    <row r="13" customFormat="false" ht="79.5" hidden="false" customHeight="true" outlineLevel="0" collapsed="false">
      <c r="A13" s="11" t="s">
        <v>147</v>
      </c>
      <c r="B13" s="12" t="s">
        <v>124</v>
      </c>
      <c r="C13" s="13" t="s">
        <v>125</v>
      </c>
      <c r="D13" s="13" t="s">
        <v>125</v>
      </c>
      <c r="E13" s="13" t="s">
        <v>148</v>
      </c>
      <c r="F13" s="14" t="s">
        <v>125</v>
      </c>
      <c r="G13" s="14" t="s">
        <v>149</v>
      </c>
      <c r="H13" s="14" t="s">
        <v>150</v>
      </c>
      <c r="I13" s="15" t="s">
        <v>125</v>
      </c>
      <c r="J13" s="15" t="s">
        <v>151</v>
      </c>
      <c r="K13" s="15" t="s">
        <v>152</v>
      </c>
      <c r="L13" s="16" t="s">
        <v>131</v>
      </c>
      <c r="M13" s="16" t="s">
        <v>153</v>
      </c>
      <c r="N13" s="16" t="s">
        <v>154</v>
      </c>
      <c r="O13" s="17" t="s">
        <v>131</v>
      </c>
      <c r="P13" s="17" t="s">
        <v>155</v>
      </c>
      <c r="Q13" s="17" t="s">
        <v>156</v>
      </c>
      <c r="R13" s="18" t="s">
        <v>157</v>
      </c>
    </row>
    <row r="14" customFormat="false" ht="21.75" hidden="false" customHeight="true" outlineLevel="0" collapsed="false">
      <c r="A14" s="11" t="s">
        <v>158</v>
      </c>
      <c r="B14" s="12" t="s">
        <v>124</v>
      </c>
      <c r="C14" s="13" t="s">
        <v>93</v>
      </c>
      <c r="D14" s="13" t="s">
        <v>93</v>
      </c>
      <c r="E14" s="13" t="s">
        <v>93</v>
      </c>
      <c r="F14" s="14" t="s">
        <v>95</v>
      </c>
      <c r="G14" s="14" t="s">
        <v>95</v>
      </c>
      <c r="H14" s="14" t="s">
        <v>95</v>
      </c>
      <c r="I14" s="15" t="s">
        <v>96</v>
      </c>
      <c r="J14" s="15" t="s">
        <v>96</v>
      </c>
      <c r="K14" s="15" t="s">
        <v>96</v>
      </c>
      <c r="L14" s="16" t="s">
        <v>96</v>
      </c>
      <c r="M14" s="16" t="s">
        <v>96</v>
      </c>
      <c r="N14" s="16" t="s">
        <v>96</v>
      </c>
      <c r="O14" s="17" t="s">
        <v>96</v>
      </c>
      <c r="P14" s="17" t="s">
        <v>96</v>
      </c>
      <c r="Q14" s="17" t="s">
        <v>96</v>
      </c>
    </row>
    <row r="15" customFormat="false" ht="42.75" hidden="false" customHeight="true" outlineLevel="0" collapsed="false">
      <c r="A15" s="11" t="s">
        <v>159</v>
      </c>
      <c r="B15" s="12" t="s">
        <v>75</v>
      </c>
      <c r="C15" s="13" t="s">
        <v>95</v>
      </c>
      <c r="D15" s="13" t="s">
        <v>160</v>
      </c>
      <c r="E15" s="13" t="s">
        <v>161</v>
      </c>
      <c r="F15" s="14" t="s">
        <v>85</v>
      </c>
      <c r="G15" s="14" t="s">
        <v>162</v>
      </c>
      <c r="H15" s="14" t="s">
        <v>163</v>
      </c>
      <c r="I15" s="15" t="s">
        <v>164</v>
      </c>
      <c r="J15" s="15" t="s">
        <v>164</v>
      </c>
      <c r="K15" s="15" t="s">
        <v>164</v>
      </c>
      <c r="L15" s="16" t="s">
        <v>165</v>
      </c>
      <c r="M15" s="16" t="s">
        <v>166</v>
      </c>
      <c r="N15" s="16" t="s">
        <v>167</v>
      </c>
      <c r="O15" s="17" t="s">
        <v>168</v>
      </c>
      <c r="P15" s="17" t="s">
        <v>169</v>
      </c>
      <c r="Q15" s="17" t="s">
        <v>170</v>
      </c>
      <c r="R15" s="18" t="s">
        <v>171</v>
      </c>
    </row>
    <row r="16" customFormat="false" ht="23.25" hidden="false" customHeight="true" outlineLevel="0" collapsed="false">
      <c r="A16" s="11" t="s">
        <v>172</v>
      </c>
      <c r="B16" s="12" t="s">
        <v>173</v>
      </c>
      <c r="C16" s="13" t="s">
        <v>174</v>
      </c>
      <c r="D16" s="13" t="s">
        <v>174</v>
      </c>
      <c r="E16" s="13" t="s">
        <v>174</v>
      </c>
      <c r="F16" s="14" t="s">
        <v>174</v>
      </c>
      <c r="G16" s="14" t="s">
        <v>175</v>
      </c>
      <c r="H16" s="14" t="s">
        <v>176</v>
      </c>
      <c r="I16" s="15" t="s">
        <v>174</v>
      </c>
      <c r="J16" s="15" t="s">
        <v>174</v>
      </c>
      <c r="K16" s="15" t="s">
        <v>174</v>
      </c>
      <c r="L16" s="16" t="s">
        <v>174</v>
      </c>
      <c r="M16" s="16" t="s">
        <v>174</v>
      </c>
      <c r="N16" s="16" t="s">
        <v>174</v>
      </c>
      <c r="O16" s="17" t="s">
        <v>174</v>
      </c>
      <c r="P16" s="17" t="s">
        <v>177</v>
      </c>
      <c r="Q16" s="17" t="s">
        <v>178</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179</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4" customFormat="false" ht="32.25" hidden="false" customHeight="true" outlineLevel="0" collapsed="false">
      <c r="A4" s="11" t="s">
        <v>180</v>
      </c>
      <c r="B4" s="12" t="s">
        <v>72</v>
      </c>
      <c r="C4" s="13" t="n">
        <v>34</v>
      </c>
      <c r="D4" s="13" t="n">
        <v>36</v>
      </c>
      <c r="E4" s="13" t="n">
        <v>54</v>
      </c>
      <c r="F4" s="14" t="n">
        <v>68</v>
      </c>
      <c r="G4" s="14" t="n">
        <v>77</v>
      </c>
      <c r="H4" s="14" t="n">
        <v>75</v>
      </c>
      <c r="I4" s="15" t="s">
        <v>181</v>
      </c>
      <c r="J4" s="15" t="n">
        <v>133</v>
      </c>
      <c r="K4" s="15" t="n">
        <v>117</v>
      </c>
      <c r="L4" s="16" t="n">
        <v>46</v>
      </c>
      <c r="M4" s="16" t="n">
        <v>45</v>
      </c>
      <c r="N4" s="16" t="n">
        <v>36</v>
      </c>
      <c r="O4" s="17" t="n">
        <v>0</v>
      </c>
      <c r="P4" s="17" t="n">
        <v>6</v>
      </c>
      <c r="Q4" s="17" t="n">
        <v>4</v>
      </c>
      <c r="R4" s="18" t="s">
        <v>182</v>
      </c>
    </row>
    <row r="5" customFormat="false" ht="23.25" hidden="false" customHeight="true" outlineLevel="0" collapsed="false">
      <c r="A5" s="11" t="s">
        <v>183</v>
      </c>
      <c r="B5" s="12" t="s">
        <v>72</v>
      </c>
      <c r="C5" s="13" t="n">
        <v>5</v>
      </c>
      <c r="D5" s="13" t="n">
        <v>8</v>
      </c>
      <c r="E5" s="13" t="n">
        <v>12</v>
      </c>
      <c r="F5" s="14" t="s">
        <v>184</v>
      </c>
      <c r="G5" s="14" t="n">
        <v>12</v>
      </c>
      <c r="H5" s="14" t="n">
        <v>10</v>
      </c>
      <c r="I5" s="15" t="s">
        <v>185</v>
      </c>
      <c r="J5" s="15" t="s">
        <v>185</v>
      </c>
      <c r="K5" s="15" t="s">
        <v>185</v>
      </c>
      <c r="L5" s="16" t="n">
        <v>13</v>
      </c>
      <c r="M5" s="16" t="n">
        <v>8</v>
      </c>
      <c r="N5" s="16" t="n">
        <v>9</v>
      </c>
      <c r="O5" s="17" t="n">
        <v>0</v>
      </c>
      <c r="P5" s="17" t="n">
        <v>2</v>
      </c>
      <c r="Q5" s="17" t="n">
        <v>0</v>
      </c>
    </row>
    <row r="6" customFormat="false" ht="15" hidden="false" customHeight="true" outlineLevel="0" collapsed="false">
      <c r="A6" s="11" t="s">
        <v>186</v>
      </c>
      <c r="B6" s="12" t="s">
        <v>72</v>
      </c>
      <c r="C6" s="13" t="s">
        <v>187</v>
      </c>
      <c r="D6" s="13" t="s">
        <v>188</v>
      </c>
      <c r="E6" s="13" t="s">
        <v>188</v>
      </c>
      <c r="F6" s="14" t="s">
        <v>188</v>
      </c>
      <c r="G6" s="14" t="s">
        <v>188</v>
      </c>
      <c r="H6" s="14" t="s">
        <v>188</v>
      </c>
      <c r="I6" s="15" t="s">
        <v>187</v>
      </c>
      <c r="J6" s="15" t="s">
        <v>189</v>
      </c>
      <c r="K6" s="15" t="s">
        <v>190</v>
      </c>
      <c r="L6" s="16" t="s">
        <v>191</v>
      </c>
      <c r="M6" s="16" t="s">
        <v>192</v>
      </c>
      <c r="N6" s="16" t="s">
        <v>193</v>
      </c>
      <c r="O6" s="17" t="s">
        <v>188</v>
      </c>
      <c r="P6" s="17" t="s">
        <v>188</v>
      </c>
      <c r="Q6" s="17" t="s">
        <v>188</v>
      </c>
    </row>
    <row r="7" customFormat="false" ht="15" hidden="false" customHeight="true" outlineLevel="0" collapsed="false">
      <c r="A7" s="11" t="s">
        <v>194</v>
      </c>
      <c r="B7" s="12" t="s">
        <v>72</v>
      </c>
      <c r="C7" s="13" t="s">
        <v>187</v>
      </c>
      <c r="D7" s="13" t="s">
        <v>188</v>
      </c>
      <c r="E7" s="13" t="s">
        <v>188</v>
      </c>
      <c r="F7" s="14" t="s">
        <v>188</v>
      </c>
      <c r="G7" s="14" t="s">
        <v>188</v>
      </c>
      <c r="H7" s="14" t="s">
        <v>188</v>
      </c>
      <c r="I7" s="15" t="s">
        <v>187</v>
      </c>
      <c r="J7" s="15" t="s">
        <v>187</v>
      </c>
      <c r="K7" s="15" t="s">
        <v>187</v>
      </c>
      <c r="L7" s="16" t="s">
        <v>188</v>
      </c>
      <c r="M7" s="16" t="s">
        <v>188</v>
      </c>
      <c r="N7" s="16" t="s">
        <v>188</v>
      </c>
      <c r="O7" s="17" t="s">
        <v>188</v>
      </c>
      <c r="P7" s="17" t="s">
        <v>188</v>
      </c>
      <c r="Q7" s="17" t="s">
        <v>188</v>
      </c>
    </row>
    <row r="8" customFormat="false" ht="23.25" hidden="false" customHeight="true" outlineLevel="0" collapsed="false">
      <c r="A8" s="11" t="s">
        <v>195</v>
      </c>
      <c r="B8" s="12" t="s">
        <v>72</v>
      </c>
      <c r="C8" s="13" t="s">
        <v>187</v>
      </c>
      <c r="D8" s="13" t="s">
        <v>188</v>
      </c>
      <c r="E8" s="13" t="s">
        <v>188</v>
      </c>
      <c r="F8" s="14" t="s">
        <v>188</v>
      </c>
      <c r="G8" s="14" t="s">
        <v>188</v>
      </c>
      <c r="H8" s="14" t="s">
        <v>188</v>
      </c>
      <c r="I8" s="15" t="s">
        <v>187</v>
      </c>
      <c r="J8" s="15" t="s">
        <v>187</v>
      </c>
      <c r="K8" s="15" t="s">
        <v>187</v>
      </c>
      <c r="L8" s="16" t="s">
        <v>196</v>
      </c>
      <c r="M8" s="16" t="s">
        <v>196</v>
      </c>
      <c r="N8" s="16" t="s">
        <v>188</v>
      </c>
      <c r="O8" s="17" t="s">
        <v>188</v>
      </c>
      <c r="P8" s="17" t="s">
        <v>188</v>
      </c>
      <c r="Q8" s="17" t="s">
        <v>188</v>
      </c>
    </row>
    <row r="9" customFormat="false" ht="15" hidden="false" customHeight="true" outlineLevel="0" collapsed="false">
      <c r="A9" s="11" t="s">
        <v>197</v>
      </c>
      <c r="B9" s="12" t="s">
        <v>72</v>
      </c>
      <c r="C9" s="13" t="s">
        <v>187</v>
      </c>
      <c r="D9" s="13" t="s">
        <v>188</v>
      </c>
      <c r="E9" s="13" t="s">
        <v>188</v>
      </c>
      <c r="F9" s="14" t="s">
        <v>188</v>
      </c>
      <c r="G9" s="14" t="s">
        <v>188</v>
      </c>
      <c r="H9" s="14" t="s">
        <v>188</v>
      </c>
      <c r="I9" s="15" t="s">
        <v>187</v>
      </c>
      <c r="J9" s="15" t="s">
        <v>187</v>
      </c>
      <c r="K9" s="15" t="s">
        <v>187</v>
      </c>
      <c r="L9" s="16" t="s">
        <v>198</v>
      </c>
      <c r="M9" s="16" t="s">
        <v>199</v>
      </c>
      <c r="N9" s="16" t="s">
        <v>200</v>
      </c>
      <c r="O9" s="17" t="s">
        <v>188</v>
      </c>
      <c r="P9" s="17" t="s">
        <v>188</v>
      </c>
      <c r="Q9" s="17" t="s">
        <v>188</v>
      </c>
    </row>
    <row r="10" customFormat="false" ht="42.75" hidden="false" customHeight="true" outlineLevel="0" collapsed="false">
      <c r="A10" s="11" t="s">
        <v>201</v>
      </c>
      <c r="B10" s="12" t="s">
        <v>72</v>
      </c>
      <c r="C10" s="13" t="s">
        <v>187</v>
      </c>
      <c r="D10" s="13" t="s">
        <v>188</v>
      </c>
      <c r="E10" s="13" t="s">
        <v>188</v>
      </c>
      <c r="F10" s="14" t="s">
        <v>188</v>
      </c>
      <c r="G10" s="14" t="s">
        <v>188</v>
      </c>
      <c r="H10" s="14" t="s">
        <v>188</v>
      </c>
      <c r="I10" s="15" t="s">
        <v>187</v>
      </c>
      <c r="J10" s="15" t="s">
        <v>187</v>
      </c>
      <c r="K10" s="15" t="s">
        <v>187</v>
      </c>
      <c r="L10" s="16" t="s">
        <v>202</v>
      </c>
      <c r="M10" s="16" t="s">
        <v>202</v>
      </c>
      <c r="N10" s="16" t="s">
        <v>202</v>
      </c>
      <c r="O10" s="17" t="s">
        <v>188</v>
      </c>
      <c r="P10" s="17" t="s">
        <v>188</v>
      </c>
      <c r="Q10" s="17" t="s">
        <v>188</v>
      </c>
      <c r="R10" s="18" t="s">
        <v>203</v>
      </c>
    </row>
    <row r="11" customFormat="false" ht="23.25" hidden="false" customHeight="true" outlineLevel="0" collapsed="false">
      <c r="A11" s="11" t="s">
        <v>204</v>
      </c>
      <c r="B11" s="12" t="s">
        <v>72</v>
      </c>
      <c r="C11" s="13" t="n">
        <v>34</v>
      </c>
      <c r="D11" s="13" t="n">
        <v>36</v>
      </c>
      <c r="E11" s="13" t="n">
        <v>54</v>
      </c>
      <c r="F11" s="14" t="n">
        <v>68</v>
      </c>
      <c r="G11" s="14" t="n">
        <v>77</v>
      </c>
      <c r="H11" s="14" t="n">
        <v>75</v>
      </c>
      <c r="I11" s="15" t="s">
        <v>181</v>
      </c>
      <c r="J11" s="15" t="n">
        <v>133</v>
      </c>
      <c r="K11" s="15" t="n">
        <v>117</v>
      </c>
      <c r="L11" s="16" t="n">
        <v>46</v>
      </c>
      <c r="M11" s="16" t="n">
        <v>45</v>
      </c>
      <c r="N11" s="16" t="n">
        <v>36</v>
      </c>
      <c r="O11" s="17" t="n">
        <v>0</v>
      </c>
      <c r="P11" s="17" t="n">
        <v>6</v>
      </c>
      <c r="Q11" s="17" t="n">
        <v>4</v>
      </c>
    </row>
    <row r="12" customFormat="false" ht="42.75" hidden="false" customHeight="true" outlineLevel="0" collapsed="false">
      <c r="A12" s="11" t="s">
        <v>205</v>
      </c>
      <c r="B12" s="12" t="s">
        <v>75</v>
      </c>
      <c r="C12" s="13" t="s">
        <v>206</v>
      </c>
      <c r="D12" s="13" t="s">
        <v>207</v>
      </c>
      <c r="E12" s="13" t="s">
        <v>208</v>
      </c>
      <c r="F12" s="14" t="s">
        <v>209</v>
      </c>
      <c r="G12" s="14" t="s">
        <v>210</v>
      </c>
      <c r="H12" s="14" t="s">
        <v>207</v>
      </c>
      <c r="I12" s="15" t="s">
        <v>211</v>
      </c>
      <c r="J12" s="15" t="s">
        <v>212</v>
      </c>
      <c r="K12" s="15" t="s">
        <v>213</v>
      </c>
      <c r="L12" s="16" t="s">
        <v>214</v>
      </c>
      <c r="M12" s="16" t="s">
        <v>214</v>
      </c>
      <c r="N12" s="16" t="s">
        <v>215</v>
      </c>
      <c r="O12" s="17" t="s">
        <v>216</v>
      </c>
      <c r="P12" s="17" t="s">
        <v>214</v>
      </c>
      <c r="Q12" s="17" t="s">
        <v>217</v>
      </c>
      <c r="R12" s="18" t="s">
        <v>218</v>
      </c>
    </row>
    <row r="13" customFormat="false" ht="15" hidden="false" customHeight="true" outlineLevel="0" collapsed="false">
      <c r="A13" s="11" t="s">
        <v>219</v>
      </c>
      <c r="B13" s="12" t="s">
        <v>72</v>
      </c>
      <c r="C13" s="13" t="n">
        <v>21</v>
      </c>
      <c r="D13" s="13" t="n">
        <v>20</v>
      </c>
      <c r="E13" s="13" t="n">
        <v>30</v>
      </c>
      <c r="F13" s="14" t="n">
        <v>23</v>
      </c>
      <c r="G13" s="14" t="n">
        <v>25</v>
      </c>
      <c r="H13" s="14" t="n">
        <v>24</v>
      </c>
      <c r="I13" s="15" t="n">
        <v>43</v>
      </c>
      <c r="J13" s="15" t="n">
        <v>59</v>
      </c>
      <c r="K13" s="15" t="n">
        <v>62</v>
      </c>
      <c r="L13" s="16" t="n">
        <v>23</v>
      </c>
      <c r="M13" s="16" t="n">
        <v>20</v>
      </c>
      <c r="N13" s="16" t="n">
        <v>14</v>
      </c>
      <c r="O13" s="17" t="n">
        <v>0</v>
      </c>
      <c r="P13" s="17" t="n">
        <v>1</v>
      </c>
      <c r="Q13" s="17" t="n">
        <v>1</v>
      </c>
    </row>
    <row r="14" customFormat="false" ht="23.25" hidden="false" customHeight="true" outlineLevel="0" collapsed="false">
      <c r="A14" s="11" t="s">
        <v>220</v>
      </c>
      <c r="B14" s="12" t="s">
        <v>173</v>
      </c>
      <c r="C14" s="13" t="s">
        <v>174</v>
      </c>
      <c r="D14" s="13" t="s">
        <v>174</v>
      </c>
      <c r="E14" s="13" t="s">
        <v>174</v>
      </c>
      <c r="F14" s="14" t="s">
        <v>174</v>
      </c>
      <c r="G14" s="14" t="s">
        <v>175</v>
      </c>
      <c r="H14" s="14" t="s">
        <v>221</v>
      </c>
      <c r="I14" s="15" t="s">
        <v>174</v>
      </c>
      <c r="J14" s="15" t="s">
        <v>174</v>
      </c>
      <c r="K14" s="15" t="s">
        <v>174</v>
      </c>
      <c r="L14" s="16" t="s">
        <v>174</v>
      </c>
      <c r="M14" s="16" t="s">
        <v>174</v>
      </c>
      <c r="N14" s="16" t="s">
        <v>174</v>
      </c>
      <c r="O14" s="17" t="s">
        <v>174</v>
      </c>
      <c r="P14" s="17" t="s">
        <v>222</v>
      </c>
      <c r="Q14" s="17" t="s">
        <v>223</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224</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4" customFormat="false" ht="68.25" hidden="false" customHeight="true" outlineLevel="0" collapsed="false">
      <c r="A4" s="11" t="s">
        <v>225</v>
      </c>
      <c r="B4" s="12" t="s">
        <v>226</v>
      </c>
      <c r="C4" s="13" t="s">
        <v>227</v>
      </c>
      <c r="D4" s="13" t="s">
        <v>227</v>
      </c>
      <c r="E4" s="13" t="s">
        <v>228</v>
      </c>
      <c r="F4" s="14" t="s">
        <v>229</v>
      </c>
      <c r="G4" s="14" t="s">
        <v>229</v>
      </c>
      <c r="H4" s="14" t="s">
        <v>229</v>
      </c>
      <c r="I4" s="15" t="s">
        <v>230</v>
      </c>
      <c r="J4" s="15" t="s">
        <v>230</v>
      </c>
      <c r="K4" s="15" t="s">
        <v>230</v>
      </c>
      <c r="L4" s="16" t="s">
        <v>230</v>
      </c>
      <c r="M4" s="16" t="s">
        <v>230</v>
      </c>
      <c r="N4" s="16" t="s">
        <v>231</v>
      </c>
      <c r="O4" s="17" t="s">
        <v>232</v>
      </c>
      <c r="P4" s="17" t="s">
        <v>230</v>
      </c>
      <c r="Q4" s="17" t="s">
        <v>230</v>
      </c>
    </row>
    <row r="5" customFormat="false" ht="135.75" hidden="false" customHeight="true" outlineLevel="0" collapsed="false">
      <c r="A5" s="11" t="s">
        <v>233</v>
      </c>
      <c r="B5" s="12" t="s">
        <v>234</v>
      </c>
      <c r="C5" s="13" t="s">
        <v>235</v>
      </c>
      <c r="D5" s="13" t="s">
        <v>236</v>
      </c>
      <c r="E5" s="13" t="s">
        <v>237</v>
      </c>
      <c r="F5" s="14" t="s">
        <v>238</v>
      </c>
      <c r="G5" s="14" t="s">
        <v>236</v>
      </c>
      <c r="H5" s="14" t="s">
        <v>239</v>
      </c>
      <c r="I5" s="15" t="s">
        <v>240</v>
      </c>
      <c r="J5" s="15" t="s">
        <v>236</v>
      </c>
      <c r="K5" s="15" t="s">
        <v>241</v>
      </c>
      <c r="L5" s="16" t="s">
        <v>242</v>
      </c>
      <c r="M5" s="16" t="s">
        <v>243</v>
      </c>
      <c r="N5" s="16" t="s">
        <v>244</v>
      </c>
      <c r="O5" s="17" t="s">
        <v>245</v>
      </c>
      <c r="P5" s="17" t="s">
        <v>246</v>
      </c>
      <c r="Q5" s="17" t="s">
        <v>247</v>
      </c>
    </row>
    <row r="6" customFormat="false" ht="113.25" hidden="false" customHeight="true" outlineLevel="0" collapsed="false">
      <c r="A6" s="11" t="s">
        <v>248</v>
      </c>
      <c r="B6" s="12" t="s">
        <v>226</v>
      </c>
      <c r="C6" s="13" t="s">
        <v>249</v>
      </c>
      <c r="D6" s="13" t="s">
        <v>250</v>
      </c>
      <c r="E6" s="13" t="s">
        <v>251</v>
      </c>
      <c r="F6" s="14" t="s">
        <v>252</v>
      </c>
      <c r="G6" s="14" t="s">
        <v>250</v>
      </c>
      <c r="H6" s="14" t="s">
        <v>253</v>
      </c>
      <c r="I6" s="15" t="s">
        <v>254</v>
      </c>
      <c r="J6" s="15" t="s">
        <v>250</v>
      </c>
      <c r="K6" s="15" t="s">
        <v>255</v>
      </c>
      <c r="L6" s="16" t="s">
        <v>256</v>
      </c>
      <c r="M6" s="16" t="s">
        <v>257</v>
      </c>
      <c r="N6" s="16" t="s">
        <v>258</v>
      </c>
      <c r="O6" s="17" t="s">
        <v>259</v>
      </c>
      <c r="P6" s="17" t="s">
        <v>230</v>
      </c>
      <c r="Q6" s="17" t="s">
        <v>230</v>
      </c>
    </row>
    <row r="7" customFormat="false" ht="79.5" hidden="false" customHeight="true" outlineLevel="0" collapsed="false">
      <c r="A7" s="11" t="s">
        <v>260</v>
      </c>
      <c r="B7" s="12" t="s">
        <v>75</v>
      </c>
      <c r="C7" s="13" t="s">
        <v>185</v>
      </c>
      <c r="D7" s="13" t="s">
        <v>185</v>
      </c>
      <c r="E7" s="13" t="s">
        <v>185</v>
      </c>
      <c r="F7" s="14" t="s">
        <v>185</v>
      </c>
      <c r="G7" s="14" t="s">
        <v>185</v>
      </c>
      <c r="H7" s="14" t="s">
        <v>185</v>
      </c>
      <c r="I7" s="15" t="s">
        <v>125</v>
      </c>
      <c r="J7" s="15" t="s">
        <v>261</v>
      </c>
      <c r="K7" s="15" t="s">
        <v>261</v>
      </c>
      <c r="L7" s="16" t="s">
        <v>131</v>
      </c>
      <c r="M7" s="16" t="s">
        <v>185</v>
      </c>
      <c r="N7" s="16" t="s">
        <v>261</v>
      </c>
      <c r="O7" s="17" t="s">
        <v>131</v>
      </c>
      <c r="P7" s="17" t="s">
        <v>76</v>
      </c>
      <c r="Q7" s="17" t="s">
        <v>76</v>
      </c>
    </row>
    <row r="8" customFormat="false" ht="79.5" hidden="false" customHeight="true" outlineLevel="0" collapsed="false">
      <c r="A8" s="11" t="s">
        <v>262</v>
      </c>
      <c r="B8" s="12" t="s">
        <v>75</v>
      </c>
      <c r="C8" s="13" t="s">
        <v>185</v>
      </c>
      <c r="D8" s="13" t="s">
        <v>185</v>
      </c>
      <c r="E8" s="13" t="s">
        <v>185</v>
      </c>
      <c r="F8" s="14" t="s">
        <v>185</v>
      </c>
      <c r="G8" s="14" t="s">
        <v>185</v>
      </c>
      <c r="H8" s="14" t="s">
        <v>185</v>
      </c>
      <c r="I8" s="15" t="s">
        <v>125</v>
      </c>
      <c r="J8" s="15" t="s">
        <v>261</v>
      </c>
      <c r="K8" s="15" t="s">
        <v>261</v>
      </c>
      <c r="L8" s="16" t="s">
        <v>131</v>
      </c>
      <c r="M8" s="16" t="s">
        <v>185</v>
      </c>
      <c r="N8" s="16" t="s">
        <v>261</v>
      </c>
      <c r="O8" s="17" t="s">
        <v>131</v>
      </c>
      <c r="P8" s="17" t="s">
        <v>76</v>
      </c>
      <c r="Q8" s="17" t="s">
        <v>76</v>
      </c>
    </row>
    <row r="9" customFormat="false" ht="79.5" hidden="false" customHeight="true" outlineLevel="0" collapsed="false">
      <c r="A9" s="11" t="s">
        <v>263</v>
      </c>
      <c r="B9" s="12" t="s">
        <v>75</v>
      </c>
      <c r="C9" s="13" t="s">
        <v>185</v>
      </c>
      <c r="D9" s="13" t="s">
        <v>185</v>
      </c>
      <c r="E9" s="13" t="s">
        <v>185</v>
      </c>
      <c r="F9" s="14" t="s">
        <v>185</v>
      </c>
      <c r="G9" s="14" t="s">
        <v>185</v>
      </c>
      <c r="H9" s="14" t="s">
        <v>185</v>
      </c>
      <c r="I9" s="15" t="s">
        <v>125</v>
      </c>
      <c r="J9" s="15" t="s">
        <v>261</v>
      </c>
      <c r="K9" s="15" t="s">
        <v>261</v>
      </c>
      <c r="L9" s="16" t="s">
        <v>131</v>
      </c>
      <c r="M9" s="16" t="s">
        <v>185</v>
      </c>
      <c r="N9" s="16" t="s">
        <v>261</v>
      </c>
      <c r="O9" s="17" t="s">
        <v>131</v>
      </c>
      <c r="P9" s="17" t="s">
        <v>76</v>
      </c>
      <c r="Q9" s="17" t="s">
        <v>76</v>
      </c>
    </row>
    <row r="10" customFormat="false" ht="79.5" hidden="false" customHeight="true" outlineLevel="0" collapsed="false">
      <c r="A10" s="11" t="s">
        <v>264</v>
      </c>
      <c r="B10" s="12" t="s">
        <v>75</v>
      </c>
      <c r="C10" s="13" t="s">
        <v>185</v>
      </c>
      <c r="D10" s="13" t="s">
        <v>185</v>
      </c>
      <c r="E10" s="13" t="s">
        <v>185</v>
      </c>
      <c r="F10" s="14" t="s">
        <v>185</v>
      </c>
      <c r="G10" s="14" t="s">
        <v>185</v>
      </c>
      <c r="H10" s="14" t="s">
        <v>185</v>
      </c>
      <c r="I10" s="15" t="s">
        <v>125</v>
      </c>
      <c r="J10" s="15" t="s">
        <v>261</v>
      </c>
      <c r="K10" s="15" t="s">
        <v>261</v>
      </c>
      <c r="L10" s="16" t="s">
        <v>131</v>
      </c>
      <c r="M10" s="16" t="s">
        <v>185</v>
      </c>
      <c r="N10" s="16" t="s">
        <v>261</v>
      </c>
      <c r="O10" s="17" t="s">
        <v>131</v>
      </c>
      <c r="P10" s="17" t="s">
        <v>76</v>
      </c>
      <c r="Q10" s="17" t="s">
        <v>76</v>
      </c>
    </row>
    <row r="11" customFormat="false" ht="79.5" hidden="false" customHeight="true" outlineLevel="0" collapsed="false">
      <c r="A11" s="11" t="s">
        <v>265</v>
      </c>
      <c r="B11" s="12" t="s">
        <v>75</v>
      </c>
      <c r="C11" s="13" t="s">
        <v>185</v>
      </c>
      <c r="D11" s="13" t="s">
        <v>185</v>
      </c>
      <c r="E11" s="13" t="s">
        <v>185</v>
      </c>
      <c r="F11" s="14" t="s">
        <v>185</v>
      </c>
      <c r="G11" s="14" t="s">
        <v>185</v>
      </c>
      <c r="H11" s="14" t="s">
        <v>185</v>
      </c>
      <c r="I11" s="15" t="s">
        <v>125</v>
      </c>
      <c r="J11" s="15" t="s">
        <v>261</v>
      </c>
      <c r="K11" s="15" t="s">
        <v>261</v>
      </c>
      <c r="L11" s="16" t="s">
        <v>131</v>
      </c>
      <c r="M11" s="16" t="s">
        <v>185</v>
      </c>
      <c r="N11" s="16" t="s">
        <v>261</v>
      </c>
      <c r="O11" s="17" t="s">
        <v>131</v>
      </c>
      <c r="P11" s="17" t="s">
        <v>76</v>
      </c>
      <c r="Q11" s="17" t="s">
        <v>76</v>
      </c>
    </row>
    <row r="12" customFormat="false" ht="79.5" hidden="false" customHeight="true" outlineLevel="0" collapsed="false">
      <c r="A12" s="11" t="s">
        <v>266</v>
      </c>
      <c r="B12" s="12" t="s">
        <v>75</v>
      </c>
      <c r="C12" s="13" t="s">
        <v>185</v>
      </c>
      <c r="D12" s="13" t="s">
        <v>185</v>
      </c>
      <c r="E12" s="13" t="s">
        <v>185</v>
      </c>
      <c r="F12" s="14" t="s">
        <v>185</v>
      </c>
      <c r="G12" s="14" t="s">
        <v>185</v>
      </c>
      <c r="H12" s="14" t="s">
        <v>185</v>
      </c>
      <c r="I12" s="15" t="s">
        <v>125</v>
      </c>
      <c r="J12" s="15" t="s">
        <v>267</v>
      </c>
      <c r="K12" s="15" t="s">
        <v>268</v>
      </c>
      <c r="L12" s="16" t="s">
        <v>131</v>
      </c>
      <c r="M12" s="16" t="s">
        <v>269</v>
      </c>
      <c r="N12" s="16" t="s">
        <v>269</v>
      </c>
      <c r="O12" s="17" t="s">
        <v>131</v>
      </c>
      <c r="P12" s="17" t="s">
        <v>270</v>
      </c>
      <c r="Q12" s="17" t="s">
        <v>270</v>
      </c>
      <c r="R12" s="18" t="s">
        <v>271</v>
      </c>
    </row>
    <row r="13" customFormat="false" ht="79.5" hidden="false" customHeight="true" outlineLevel="0" collapsed="false">
      <c r="A13" s="11" t="s">
        <v>272</v>
      </c>
      <c r="B13" s="12" t="s">
        <v>273</v>
      </c>
      <c r="C13" s="13" t="s">
        <v>274</v>
      </c>
      <c r="D13" s="13" t="s">
        <v>275</v>
      </c>
      <c r="E13" s="13" t="s">
        <v>275</v>
      </c>
      <c r="F13" s="14" t="s">
        <v>125</v>
      </c>
      <c r="G13" s="14" t="s">
        <v>93</v>
      </c>
      <c r="H13" s="14" t="s">
        <v>93</v>
      </c>
      <c r="I13" s="15" t="s">
        <v>125</v>
      </c>
      <c r="J13" s="15" t="s">
        <v>96</v>
      </c>
      <c r="K13" s="15" t="s">
        <v>96</v>
      </c>
      <c r="L13" s="16" t="s">
        <v>131</v>
      </c>
      <c r="M13" s="16" t="s">
        <v>276</v>
      </c>
      <c r="N13" s="16" t="s">
        <v>276</v>
      </c>
      <c r="O13" s="17" t="s">
        <v>131</v>
      </c>
      <c r="P13" s="17" t="s">
        <v>277</v>
      </c>
      <c r="Q13" s="17" t="s">
        <v>277</v>
      </c>
    </row>
    <row r="14" customFormat="false" ht="79.5" hidden="false" customHeight="true" outlineLevel="0" collapsed="false">
      <c r="A14" s="11" t="s">
        <v>278</v>
      </c>
      <c r="B14" s="12" t="s">
        <v>273</v>
      </c>
      <c r="C14" s="13" t="s">
        <v>125</v>
      </c>
      <c r="D14" s="13" t="s">
        <v>185</v>
      </c>
      <c r="E14" s="13" t="s">
        <v>185</v>
      </c>
      <c r="F14" s="14" t="s">
        <v>125</v>
      </c>
      <c r="G14" s="14" t="s">
        <v>93</v>
      </c>
      <c r="H14" s="14" t="s">
        <v>93</v>
      </c>
      <c r="I14" s="15" t="s">
        <v>125</v>
      </c>
      <c r="J14" s="15" t="s">
        <v>279</v>
      </c>
      <c r="K14" s="15" t="s">
        <v>279</v>
      </c>
      <c r="L14" s="16" t="s">
        <v>131</v>
      </c>
      <c r="M14" s="16" t="s">
        <v>280</v>
      </c>
      <c r="N14" s="16" t="s">
        <v>281</v>
      </c>
      <c r="O14" s="17" t="s">
        <v>131</v>
      </c>
      <c r="P14" s="17" t="s">
        <v>282</v>
      </c>
      <c r="Q14" s="17" t="s">
        <v>283</v>
      </c>
    </row>
    <row r="15" customFormat="false" ht="79.5" hidden="false" customHeight="true" outlineLevel="0" collapsed="false">
      <c r="A15" s="11" t="s">
        <v>284</v>
      </c>
      <c r="B15" s="12" t="s">
        <v>273</v>
      </c>
      <c r="C15" s="13" t="s">
        <v>125</v>
      </c>
      <c r="D15" s="13" t="s">
        <v>285</v>
      </c>
      <c r="E15" s="13" t="s">
        <v>286</v>
      </c>
      <c r="F15" s="14" t="s">
        <v>125</v>
      </c>
      <c r="G15" s="14" t="s">
        <v>185</v>
      </c>
      <c r="H15" s="14" t="s">
        <v>185</v>
      </c>
      <c r="I15" s="15" t="s">
        <v>125</v>
      </c>
      <c r="J15" s="15" t="s">
        <v>276</v>
      </c>
      <c r="K15" s="15" t="s">
        <v>276</v>
      </c>
      <c r="L15" s="16" t="s">
        <v>131</v>
      </c>
      <c r="M15" s="16" t="s">
        <v>287</v>
      </c>
      <c r="N15" s="16" t="s">
        <v>288</v>
      </c>
      <c r="O15" s="17" t="s">
        <v>131</v>
      </c>
      <c r="P15" s="17" t="s">
        <v>289</v>
      </c>
      <c r="Q15" s="17" t="s">
        <v>290</v>
      </c>
      <c r="R15" s="18" t="s">
        <v>291</v>
      </c>
    </row>
    <row r="16" customFormat="false" ht="90.75" hidden="false" customHeight="true" outlineLevel="0" collapsed="false">
      <c r="A16" s="11" t="s">
        <v>292</v>
      </c>
      <c r="B16" s="12" t="s">
        <v>273</v>
      </c>
      <c r="C16" s="13" t="s">
        <v>125</v>
      </c>
      <c r="D16" s="13" t="s">
        <v>293</v>
      </c>
      <c r="E16" s="13" t="s">
        <v>294</v>
      </c>
      <c r="F16" s="14" t="s">
        <v>125</v>
      </c>
      <c r="G16" s="14" t="s">
        <v>295</v>
      </c>
      <c r="H16" s="14" t="s">
        <v>296</v>
      </c>
      <c r="I16" s="15" t="s">
        <v>125</v>
      </c>
      <c r="J16" s="15" t="s">
        <v>297</v>
      </c>
      <c r="K16" s="15" t="s">
        <v>298</v>
      </c>
      <c r="L16" s="16" t="s">
        <v>131</v>
      </c>
      <c r="M16" s="16" t="s">
        <v>299</v>
      </c>
      <c r="N16" s="16" t="s">
        <v>300</v>
      </c>
      <c r="O16" s="17" t="s">
        <v>131</v>
      </c>
      <c r="P16" s="17" t="s">
        <v>301</v>
      </c>
      <c r="Q16" s="17" t="s">
        <v>302</v>
      </c>
    </row>
    <row r="17" customFormat="false" ht="113.25" hidden="false" customHeight="true" outlineLevel="0" collapsed="false">
      <c r="A17" s="11" t="s">
        <v>303</v>
      </c>
      <c r="B17" s="12" t="s">
        <v>75</v>
      </c>
      <c r="C17" s="13" t="s">
        <v>125</v>
      </c>
      <c r="D17" s="13" t="s">
        <v>304</v>
      </c>
      <c r="E17" s="13" t="s">
        <v>305</v>
      </c>
      <c r="F17" s="14" t="s">
        <v>125</v>
      </c>
      <c r="G17" s="14" t="s">
        <v>306</v>
      </c>
      <c r="H17" s="14" t="s">
        <v>307</v>
      </c>
      <c r="I17" s="15" t="s">
        <v>125</v>
      </c>
      <c r="J17" s="15" t="s">
        <v>308</v>
      </c>
      <c r="K17" s="15" t="s">
        <v>309</v>
      </c>
      <c r="L17" s="16" t="s">
        <v>131</v>
      </c>
      <c r="M17" s="16" t="s">
        <v>304</v>
      </c>
      <c r="N17" s="16" t="s">
        <v>310</v>
      </c>
      <c r="O17" s="17" t="s">
        <v>131</v>
      </c>
      <c r="P17" s="17" t="s">
        <v>311</v>
      </c>
      <c r="Q17" s="17" t="s">
        <v>312</v>
      </c>
    </row>
    <row r="18" customFormat="false" ht="79.5" hidden="false" customHeight="true" outlineLevel="0" collapsed="false">
      <c r="A18" s="11" t="s">
        <v>313</v>
      </c>
      <c r="B18" s="12" t="s">
        <v>273</v>
      </c>
      <c r="C18" s="13" t="s">
        <v>125</v>
      </c>
      <c r="D18" s="13" t="s">
        <v>276</v>
      </c>
      <c r="E18" s="13" t="s">
        <v>276</v>
      </c>
      <c r="F18" s="14" t="s">
        <v>125</v>
      </c>
      <c r="G18" s="14" t="s">
        <v>93</v>
      </c>
      <c r="H18" s="14" t="s">
        <v>93</v>
      </c>
      <c r="I18" s="15" t="s">
        <v>125</v>
      </c>
      <c r="J18" s="15" t="s">
        <v>96</v>
      </c>
      <c r="K18" s="15" t="s">
        <v>276</v>
      </c>
      <c r="L18" s="16" t="s">
        <v>131</v>
      </c>
      <c r="M18" s="16" t="s">
        <v>276</v>
      </c>
      <c r="N18" s="16" t="s">
        <v>276</v>
      </c>
      <c r="O18" s="17" t="s">
        <v>131</v>
      </c>
      <c r="P18" s="17" t="s">
        <v>311</v>
      </c>
      <c r="Q18" s="17" t="s">
        <v>314</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315</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23.25" hidden="false" customHeight="true" outlineLevel="0" collapsed="false">
      <c r="A3" s="11" t="s">
        <v>316</v>
      </c>
      <c r="B3" s="12" t="s">
        <v>317</v>
      </c>
      <c r="C3" s="13" t="n">
        <v>11940</v>
      </c>
      <c r="D3" s="13" t="n">
        <v>43693.77</v>
      </c>
      <c r="E3" s="13" t="n">
        <v>72474.22</v>
      </c>
      <c r="F3" s="14" t="n">
        <v>10333.68</v>
      </c>
      <c r="G3" s="14" t="n">
        <v>11772.84</v>
      </c>
      <c r="H3" s="14" t="n">
        <v>66436.61</v>
      </c>
      <c r="I3" s="15" t="n">
        <v>61524.76</v>
      </c>
      <c r="J3" s="15" t="n">
        <v>272638.18</v>
      </c>
      <c r="K3" s="15" t="n">
        <v>292086.5</v>
      </c>
      <c r="L3" s="16" t="n">
        <v>74094</v>
      </c>
      <c r="M3" s="16" t="n">
        <v>268461.61</v>
      </c>
      <c r="N3" s="16" t="n">
        <v>304044</v>
      </c>
      <c r="O3" s="17" t="n">
        <v>0</v>
      </c>
      <c r="P3" s="17" t="n">
        <v>0</v>
      </c>
      <c r="Q3" s="17" t="n">
        <v>0</v>
      </c>
    </row>
    <row r="4" customFormat="false" ht="15" hidden="false" customHeight="true" outlineLevel="0" collapsed="false">
      <c r="A4" s="11" t="s">
        <v>318</v>
      </c>
      <c r="B4" s="12" t="s">
        <v>317</v>
      </c>
      <c r="C4" s="13" t="n">
        <v>0</v>
      </c>
      <c r="D4" s="13" t="n">
        <v>0</v>
      </c>
      <c r="E4" s="13" t="n">
        <v>0</v>
      </c>
      <c r="F4" s="14" t="n">
        <v>0</v>
      </c>
      <c r="G4" s="14" t="n">
        <v>0</v>
      </c>
      <c r="H4" s="14" t="n">
        <v>0</v>
      </c>
      <c r="I4" s="15" t="n">
        <v>0</v>
      </c>
      <c r="J4" s="15" t="n">
        <v>0</v>
      </c>
      <c r="K4" s="15" t="n">
        <v>0</v>
      </c>
      <c r="L4" s="16" t="n">
        <v>0</v>
      </c>
      <c r="M4" s="16" t="n">
        <v>0</v>
      </c>
      <c r="N4" s="16" t="n">
        <v>0</v>
      </c>
      <c r="O4" s="17" t="n">
        <v>0</v>
      </c>
      <c r="P4" s="17" t="n">
        <v>0</v>
      </c>
      <c r="Q4" s="17" t="n">
        <v>0</v>
      </c>
    </row>
    <row r="5" customFormat="false" ht="23.25" hidden="false" customHeight="true" outlineLevel="0" collapsed="false">
      <c r="A5" s="11" t="s">
        <v>319</v>
      </c>
      <c r="B5" s="12" t="s">
        <v>317</v>
      </c>
      <c r="C5" s="13" t="n">
        <v>0</v>
      </c>
      <c r="D5" s="13" t="n">
        <v>0</v>
      </c>
      <c r="E5" s="13" t="n">
        <v>0</v>
      </c>
      <c r="F5" s="14" t="n">
        <v>0</v>
      </c>
      <c r="G5" s="14" t="n">
        <v>0</v>
      </c>
      <c r="H5" s="14" t="n">
        <v>0</v>
      </c>
      <c r="I5" s="15" t="n">
        <v>0</v>
      </c>
      <c r="J5" s="15" t="n">
        <v>0</v>
      </c>
      <c r="K5" s="15" t="n">
        <v>0</v>
      </c>
      <c r="L5" s="16" t="n">
        <v>0</v>
      </c>
      <c r="M5" s="16" t="n">
        <v>0</v>
      </c>
      <c r="N5" s="16" t="n">
        <v>0</v>
      </c>
      <c r="O5" s="17" t="n">
        <v>0</v>
      </c>
      <c r="P5" s="17" t="n">
        <v>0</v>
      </c>
      <c r="Q5" s="17" t="n">
        <v>0</v>
      </c>
    </row>
    <row r="6" customFormat="false" ht="23.25" hidden="false" customHeight="true" outlineLevel="0" collapsed="false">
      <c r="A6" s="11" t="s">
        <v>320</v>
      </c>
      <c r="B6" s="12" t="s">
        <v>317</v>
      </c>
      <c r="C6" s="13" t="n">
        <v>11940</v>
      </c>
      <c r="D6" s="13" t="n">
        <v>43693.77</v>
      </c>
      <c r="E6" s="13" t="n">
        <v>72474.22</v>
      </c>
      <c r="F6" s="14" t="n">
        <v>10333.68</v>
      </c>
      <c r="G6" s="14" t="n">
        <v>11772.84</v>
      </c>
      <c r="H6" s="14" t="n">
        <v>66436.61</v>
      </c>
      <c r="I6" s="15" t="n">
        <v>61524.76</v>
      </c>
      <c r="J6" s="15" t="n">
        <v>272638.18</v>
      </c>
      <c r="K6" s="15" t="n">
        <v>292086.5</v>
      </c>
      <c r="L6" s="16" t="n">
        <v>74094</v>
      </c>
      <c r="M6" s="16" t="n">
        <v>268461.61</v>
      </c>
      <c r="N6" s="16" t="n">
        <v>304044</v>
      </c>
      <c r="O6" s="17" t="n">
        <v>0</v>
      </c>
      <c r="P6" s="17" t="n">
        <v>0</v>
      </c>
      <c r="Q6" s="17" t="n">
        <v>0</v>
      </c>
    </row>
    <row r="7" customFormat="false" ht="23.25" hidden="false" customHeight="true" outlineLevel="0" collapsed="false">
      <c r="A7" s="11" t="s">
        <v>321</v>
      </c>
      <c r="B7" s="12" t="s">
        <v>317</v>
      </c>
      <c r="C7" s="13" t="n">
        <v>894190</v>
      </c>
      <c r="D7" s="13" t="n">
        <v>752604.83</v>
      </c>
      <c r="E7" s="13" t="n">
        <v>638777.76</v>
      </c>
      <c r="F7" s="14" t="n">
        <v>1555810.69</v>
      </c>
      <c r="G7" s="14" t="n">
        <v>2523514.68</v>
      </c>
      <c r="H7" s="14" t="n">
        <v>1410725.08</v>
      </c>
      <c r="I7" s="15" t="n">
        <v>634156.11</v>
      </c>
      <c r="J7" s="15" t="n">
        <v>509361.87</v>
      </c>
      <c r="K7" s="15" t="n">
        <v>594419.55</v>
      </c>
      <c r="L7" s="16" t="n">
        <v>3426973</v>
      </c>
      <c r="M7" s="16" t="n">
        <v>2888100</v>
      </c>
      <c r="N7" s="16" t="n">
        <v>2911585</v>
      </c>
      <c r="O7" s="17" t="n">
        <v>86108.73</v>
      </c>
      <c r="P7" s="17" t="n">
        <v>101662.56</v>
      </c>
      <c r="Q7" s="17" t="n">
        <v>122127.84</v>
      </c>
    </row>
    <row r="8" customFormat="false" ht="23.25" hidden="false" customHeight="true" outlineLevel="0" collapsed="false">
      <c r="A8" s="11" t="s">
        <v>322</v>
      </c>
      <c r="B8" s="12" t="s">
        <v>317</v>
      </c>
      <c r="C8" s="13" t="n">
        <v>99740</v>
      </c>
      <c r="D8" s="13" t="n">
        <v>101527.96</v>
      </c>
      <c r="E8" s="13" t="n">
        <v>114210.57</v>
      </c>
      <c r="F8" s="14" t="n">
        <v>408954</v>
      </c>
      <c r="G8" s="14" t="n">
        <v>497686.1</v>
      </c>
      <c r="H8" s="14" t="n">
        <v>585716.08</v>
      </c>
      <c r="I8" s="15" t="n">
        <v>91058.9</v>
      </c>
      <c r="J8" s="15" t="n">
        <v>100345.16</v>
      </c>
      <c r="K8" s="15" t="n">
        <v>81340</v>
      </c>
      <c r="L8" s="16" t="n">
        <v>838093</v>
      </c>
      <c r="M8" s="16" t="n">
        <v>808655</v>
      </c>
      <c r="N8" s="16" t="n">
        <v>1010160</v>
      </c>
      <c r="O8" s="17" t="n">
        <v>53823.47</v>
      </c>
      <c r="P8" s="17" t="n">
        <v>64202.49</v>
      </c>
      <c r="Q8" s="17" t="n">
        <v>61735.77</v>
      </c>
    </row>
    <row r="9" customFormat="false" ht="23.25" hidden="false" customHeight="true" outlineLevel="0" collapsed="false">
      <c r="A9" s="11" t="s">
        <v>323</v>
      </c>
      <c r="B9" s="12" t="s">
        <v>317</v>
      </c>
      <c r="C9" s="13" t="n">
        <v>0</v>
      </c>
      <c r="D9" s="13" t="n">
        <v>0</v>
      </c>
      <c r="E9" s="13" t="n">
        <v>0</v>
      </c>
      <c r="F9" s="14" t="n">
        <v>0</v>
      </c>
      <c r="G9" s="14" t="n">
        <v>0</v>
      </c>
      <c r="H9" s="14" t="n">
        <v>0</v>
      </c>
      <c r="I9" s="15" t="n">
        <v>0</v>
      </c>
      <c r="J9" s="15" t="n">
        <v>0</v>
      </c>
      <c r="K9" s="15" t="n">
        <v>0</v>
      </c>
      <c r="L9" s="16" t="n">
        <v>0</v>
      </c>
      <c r="M9" s="16" t="n">
        <v>0</v>
      </c>
      <c r="N9" s="16" t="n">
        <v>0</v>
      </c>
      <c r="O9" s="17" t="n">
        <v>0</v>
      </c>
      <c r="P9" s="17" t="n">
        <v>0</v>
      </c>
      <c r="Q9" s="17" t="n">
        <v>0</v>
      </c>
    </row>
    <row r="10" customFormat="false" ht="23.25" hidden="false" customHeight="true" outlineLevel="0" collapsed="false">
      <c r="A10" s="11" t="s">
        <v>324</v>
      </c>
      <c r="B10" s="12" t="s">
        <v>317</v>
      </c>
      <c r="C10" s="13" t="n">
        <v>993930</v>
      </c>
      <c r="D10" s="13" t="n">
        <v>854132.79</v>
      </c>
      <c r="E10" s="13" t="n">
        <v>752988.33</v>
      </c>
      <c r="F10" s="14" t="n">
        <v>1964764.69</v>
      </c>
      <c r="G10" s="14" t="n">
        <v>3021200.78</v>
      </c>
      <c r="H10" s="14" t="n">
        <v>1996441.16</v>
      </c>
      <c r="I10" s="15" t="n">
        <v>725215.01</v>
      </c>
      <c r="J10" s="15" t="n">
        <v>609707.03</v>
      </c>
      <c r="K10" s="15" t="n">
        <v>675759.55</v>
      </c>
      <c r="L10" s="16" t="n">
        <v>4265066</v>
      </c>
      <c r="M10" s="16" t="n">
        <v>3696755</v>
      </c>
      <c r="N10" s="16" t="n">
        <v>3921745</v>
      </c>
      <c r="O10" s="17" t="n">
        <v>139932.2</v>
      </c>
      <c r="P10" s="17" t="n">
        <v>165865.05</v>
      </c>
      <c r="Q10" s="17" t="n">
        <v>183863.61</v>
      </c>
    </row>
    <row r="11" customFormat="false" ht="15" hidden="false" customHeight="true" outlineLevel="0" collapsed="false">
      <c r="A11" s="11" t="s">
        <v>325</v>
      </c>
      <c r="B11" s="12" t="s">
        <v>317</v>
      </c>
      <c r="C11" s="13" t="n">
        <v>1005420</v>
      </c>
      <c r="D11" s="13" t="n">
        <v>897826.56</v>
      </c>
      <c r="E11" s="13" t="n">
        <v>825462.55</v>
      </c>
      <c r="F11" s="14" t="n">
        <v>1975098.37</v>
      </c>
      <c r="G11" s="14" t="n">
        <v>3032973.62</v>
      </c>
      <c r="H11" s="14" t="n">
        <v>2062877.77</v>
      </c>
      <c r="I11" s="15" t="n">
        <v>786739.77</v>
      </c>
      <c r="J11" s="15" t="n">
        <v>882345.21</v>
      </c>
      <c r="K11" s="15" t="n">
        <v>967846.05</v>
      </c>
      <c r="L11" s="16" t="n">
        <v>4339160</v>
      </c>
      <c r="M11" s="16" t="n">
        <v>3965217</v>
      </c>
      <c r="N11" s="16" t="n">
        <v>4225789</v>
      </c>
      <c r="O11" s="17" t="n">
        <v>139932.2</v>
      </c>
      <c r="P11" s="17" t="n">
        <v>165865.05</v>
      </c>
      <c r="Q11" s="17" t="n">
        <v>183863.61</v>
      </c>
    </row>
    <row r="12" customFormat="false" ht="42.75" hidden="false" customHeight="true" outlineLevel="0" collapsed="false">
      <c r="A12" s="11" t="s">
        <v>326</v>
      </c>
      <c r="B12" s="12" t="s">
        <v>327</v>
      </c>
      <c r="C12" s="13" t="n">
        <v>9.8896E-007</v>
      </c>
      <c r="D12" s="13" t="n">
        <v>6.811E-007</v>
      </c>
      <c r="E12" s="13" t="n">
        <v>5.708E-007</v>
      </c>
      <c r="F12" s="14" t="n">
        <v>10.24</v>
      </c>
      <c r="G12" s="14" t="n">
        <v>9.87</v>
      </c>
      <c r="H12" s="14" t="n">
        <v>5.96</v>
      </c>
      <c r="I12" s="15" t="n">
        <v>6.34</v>
      </c>
      <c r="J12" s="15" t="n">
        <v>5.52</v>
      </c>
      <c r="K12" s="15" t="n">
        <v>5.05</v>
      </c>
      <c r="L12" s="16" t="n">
        <v>11.7</v>
      </c>
      <c r="M12" s="16" t="n">
        <v>9.28</v>
      </c>
      <c r="N12" s="16" t="n">
        <v>8.78</v>
      </c>
      <c r="O12" s="17" t="n">
        <v>4.69E-007</v>
      </c>
      <c r="P12" s="17" t="n">
        <v>4.73E-007</v>
      </c>
      <c r="Q12" s="17" t="n">
        <v>4.392E-007</v>
      </c>
      <c r="R12" s="18" t="s">
        <v>328</v>
      </c>
    </row>
    <row r="13" customFormat="false" ht="53.25" hidden="false" customHeight="true" outlineLevel="0" collapsed="false">
      <c r="A13" s="11" t="s">
        <v>329</v>
      </c>
      <c r="B13" s="12" t="s">
        <v>330</v>
      </c>
      <c r="C13" s="13" t="s">
        <v>331</v>
      </c>
      <c r="D13" s="13" t="n">
        <v>1.53E-005</v>
      </c>
      <c r="E13" s="13" t="n">
        <v>1.18E-005</v>
      </c>
      <c r="F13" s="14" t="n">
        <v>23.44</v>
      </c>
      <c r="G13" s="14" t="n">
        <v>22.58</v>
      </c>
      <c r="H13" s="14" t="n">
        <v>12.32</v>
      </c>
      <c r="I13" s="15" t="n">
        <v>133</v>
      </c>
      <c r="J13" s="15" t="n">
        <v>116</v>
      </c>
      <c r="K13" s="15" t="n">
        <v>104</v>
      </c>
      <c r="L13" s="16" t="s">
        <v>332</v>
      </c>
      <c r="M13" s="16" t="s">
        <v>333</v>
      </c>
      <c r="N13" s="16" t="n">
        <v>18.14</v>
      </c>
      <c r="O13" s="17" t="n">
        <v>1.36E-007</v>
      </c>
      <c r="P13" s="17" t="s">
        <v>334</v>
      </c>
      <c r="Q13" s="17" t="n">
        <v>9.0747E-006</v>
      </c>
      <c r="R13" s="18" t="s">
        <v>335</v>
      </c>
    </row>
    <row r="14" customFormat="false" ht="21.75" hidden="false" customHeight="true" outlineLevel="0" collapsed="false">
      <c r="A14" s="11" t="s">
        <v>336</v>
      </c>
      <c r="B14" s="12" t="s">
        <v>337</v>
      </c>
      <c r="C14" s="13" t="n">
        <v>10.96</v>
      </c>
      <c r="D14" s="13" t="n">
        <v>8.61</v>
      </c>
      <c r="E14" s="13" t="n">
        <v>7.9</v>
      </c>
      <c r="F14" s="14" t="n">
        <v>11.4</v>
      </c>
      <c r="G14" s="14" t="n">
        <v>14.2</v>
      </c>
      <c r="H14" s="14" t="n">
        <v>9.62</v>
      </c>
      <c r="I14" s="15" t="n">
        <v>6.1</v>
      </c>
      <c r="J14" s="15" t="n">
        <v>6.26</v>
      </c>
      <c r="K14" s="15" t="n">
        <v>7.39</v>
      </c>
      <c r="L14" s="16" t="n">
        <v>18.4</v>
      </c>
      <c r="M14" s="16" t="n">
        <v>17.1</v>
      </c>
      <c r="N14" s="16" t="n">
        <v>17.92</v>
      </c>
      <c r="O14" s="17" t="s">
        <v>96</v>
      </c>
      <c r="P14" s="17" t="s">
        <v>96</v>
      </c>
      <c r="Q14" s="17" t="s">
        <v>96</v>
      </c>
    </row>
    <row r="15" customFormat="false" ht="34.5" hidden="false" customHeight="true" outlineLevel="0" collapsed="false">
      <c r="A15" s="11" t="s">
        <v>338</v>
      </c>
      <c r="B15" s="12" t="s">
        <v>173</v>
      </c>
      <c r="C15" s="13" t="s">
        <v>339</v>
      </c>
      <c r="D15" s="13" t="s">
        <v>176</v>
      </c>
      <c r="E15" s="13" t="s">
        <v>176</v>
      </c>
      <c r="F15" s="14" t="s">
        <v>175</v>
      </c>
      <c r="G15" s="14" t="s">
        <v>175</v>
      </c>
      <c r="H15" s="14" t="s">
        <v>176</v>
      </c>
      <c r="I15" s="15" t="s">
        <v>340</v>
      </c>
      <c r="J15" s="15" t="s">
        <v>340</v>
      </c>
      <c r="K15" s="15" t="s">
        <v>340</v>
      </c>
      <c r="L15" s="16" t="s">
        <v>174</v>
      </c>
      <c r="M15" s="16" t="s">
        <v>341</v>
      </c>
      <c r="N15" s="16" t="s">
        <v>342</v>
      </c>
      <c r="O15" s="17" t="s">
        <v>174</v>
      </c>
      <c r="P15" s="17" t="s">
        <v>222</v>
      </c>
      <c r="Q15" s="17" t="s">
        <v>223</v>
      </c>
    </row>
    <row r="16" customFormat="false" ht="23.25" hidden="false" customHeight="true" outlineLevel="0" collapsed="false">
      <c r="A16" s="11" t="s">
        <v>343</v>
      </c>
      <c r="B16" s="12" t="s">
        <v>226</v>
      </c>
      <c r="C16" s="13" t="s">
        <v>276</v>
      </c>
      <c r="D16" s="13" t="s">
        <v>276</v>
      </c>
      <c r="E16" s="13" t="s">
        <v>344</v>
      </c>
      <c r="F16" s="14" t="s">
        <v>93</v>
      </c>
      <c r="G16" s="14" t="s">
        <v>93</v>
      </c>
      <c r="H16" s="14" t="s">
        <v>93</v>
      </c>
      <c r="I16" s="15" t="s">
        <v>279</v>
      </c>
      <c r="J16" s="15" t="s">
        <v>279</v>
      </c>
      <c r="K16" s="15" t="s">
        <v>279</v>
      </c>
      <c r="L16" s="16" t="s">
        <v>174</v>
      </c>
      <c r="M16" s="16" t="s">
        <v>344</v>
      </c>
      <c r="N16" s="16" t="s">
        <v>344</v>
      </c>
      <c r="O16" s="17" t="s">
        <v>174</v>
      </c>
      <c r="P16" s="17" t="s">
        <v>276</v>
      </c>
      <c r="Q16" s="17" t="s">
        <v>345</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346</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15" hidden="false" customHeight="true" outlineLevel="0" collapsed="false">
      <c r="A3" s="11" t="s">
        <v>347</v>
      </c>
      <c r="B3" s="12" t="s">
        <v>348</v>
      </c>
      <c r="C3" s="13" t="s">
        <v>331</v>
      </c>
      <c r="D3" s="13" t="s">
        <v>331</v>
      </c>
      <c r="E3" s="13" t="s">
        <v>349</v>
      </c>
      <c r="F3" s="14" t="n">
        <v>0</v>
      </c>
      <c r="G3" s="14" t="n">
        <v>0</v>
      </c>
      <c r="H3" s="14" t="n">
        <v>0</v>
      </c>
      <c r="I3" s="15" t="s">
        <v>350</v>
      </c>
      <c r="J3" s="15" t="s">
        <v>350</v>
      </c>
      <c r="K3" s="15" t="s">
        <v>350</v>
      </c>
      <c r="L3" s="16" t="s">
        <v>185</v>
      </c>
      <c r="M3" s="16" t="s">
        <v>185</v>
      </c>
      <c r="N3" s="16" t="s">
        <v>351</v>
      </c>
      <c r="O3" s="17" t="n">
        <v>0</v>
      </c>
      <c r="P3" s="17" t="n">
        <v>0</v>
      </c>
      <c r="Q3" s="17" t="n">
        <v>0</v>
      </c>
    </row>
    <row r="4" customFormat="false" ht="15" hidden="false" customHeight="true" outlineLevel="0" collapsed="false">
      <c r="A4" s="11" t="s">
        <v>352</v>
      </c>
      <c r="B4" s="12" t="s">
        <v>348</v>
      </c>
      <c r="C4" s="13" t="s">
        <v>331</v>
      </c>
      <c r="D4" s="13" t="s">
        <v>331</v>
      </c>
      <c r="E4" s="13" t="s">
        <v>331</v>
      </c>
      <c r="F4" s="14" t="n">
        <v>0</v>
      </c>
      <c r="G4" s="14" t="n">
        <v>0</v>
      </c>
      <c r="H4" s="14" t="n">
        <v>0</v>
      </c>
      <c r="I4" s="15" t="s">
        <v>350</v>
      </c>
      <c r="J4" s="15" t="n">
        <v>157899</v>
      </c>
      <c r="K4" s="15" t="s">
        <v>350</v>
      </c>
      <c r="L4" s="16" t="n">
        <v>172293</v>
      </c>
      <c r="M4" s="16" t="n">
        <v>162324</v>
      </c>
      <c r="N4" s="16" t="s">
        <v>351</v>
      </c>
      <c r="O4" s="17" t="n">
        <v>0</v>
      </c>
      <c r="P4" s="17" t="n">
        <v>0</v>
      </c>
      <c r="Q4" s="17" t="n">
        <v>0</v>
      </c>
      <c r="R4" s="18" t="s">
        <v>353</v>
      </c>
    </row>
    <row r="5" customFormat="false" ht="15" hidden="false" customHeight="true" outlineLevel="0" collapsed="false">
      <c r="A5" s="11" t="s">
        <v>354</v>
      </c>
      <c r="B5" s="12" t="s">
        <v>348</v>
      </c>
      <c r="C5" s="13" t="s">
        <v>331</v>
      </c>
      <c r="D5" s="13" t="s">
        <v>331</v>
      </c>
      <c r="E5" s="13" t="s">
        <v>331</v>
      </c>
      <c r="F5" s="14" t="n">
        <v>1990679.9</v>
      </c>
      <c r="G5" s="14" t="n">
        <v>2408078.16</v>
      </c>
      <c r="H5" s="14" t="n">
        <v>2602703.66</v>
      </c>
      <c r="I5" s="15" t="n">
        <v>259590</v>
      </c>
      <c r="J5" s="15" t="n">
        <v>988908</v>
      </c>
      <c r="K5" s="15" t="n">
        <v>1573448</v>
      </c>
      <c r="L5" s="16" t="n">
        <v>2788113</v>
      </c>
      <c r="M5" s="16" t="n">
        <v>2633835</v>
      </c>
      <c r="N5" s="16" t="n">
        <v>2822203</v>
      </c>
      <c r="O5" s="17" t="n">
        <v>740037.83</v>
      </c>
      <c r="P5" s="17" t="n">
        <v>862426.21</v>
      </c>
      <c r="Q5" s="17" t="n">
        <v>1121402.88</v>
      </c>
    </row>
    <row r="6" customFormat="false" ht="15" hidden="false" customHeight="true" outlineLevel="0" collapsed="false">
      <c r="A6" s="11" t="s">
        <v>355</v>
      </c>
      <c r="B6" s="12" t="s">
        <v>348</v>
      </c>
      <c r="C6" s="13" t="s">
        <v>331</v>
      </c>
      <c r="D6" s="13" t="s">
        <v>331</v>
      </c>
      <c r="E6" s="13" t="s">
        <v>331</v>
      </c>
      <c r="F6" s="14" t="n">
        <v>0</v>
      </c>
      <c r="G6" s="14" t="n">
        <v>0</v>
      </c>
      <c r="H6" s="14" t="n">
        <v>0</v>
      </c>
      <c r="I6" s="15" t="s">
        <v>350</v>
      </c>
      <c r="J6" s="15" t="s">
        <v>350</v>
      </c>
      <c r="K6" s="15" t="s">
        <v>350</v>
      </c>
      <c r="L6" s="16" t="s">
        <v>185</v>
      </c>
      <c r="M6" s="16" t="s">
        <v>185</v>
      </c>
      <c r="N6" s="16" t="s">
        <v>351</v>
      </c>
      <c r="O6" s="17" t="n">
        <v>0</v>
      </c>
      <c r="P6" s="17" t="n">
        <v>0</v>
      </c>
      <c r="Q6" s="17" t="n">
        <v>0</v>
      </c>
    </row>
    <row r="7" customFormat="false" ht="15" hidden="false" customHeight="true" outlineLevel="0" collapsed="false">
      <c r="A7" s="11" t="s">
        <v>356</v>
      </c>
      <c r="B7" s="12" t="s">
        <v>348</v>
      </c>
      <c r="C7" s="13" t="s">
        <v>331</v>
      </c>
      <c r="D7" s="13" t="n">
        <v>194074</v>
      </c>
      <c r="E7" s="13" t="n">
        <v>179489.2</v>
      </c>
      <c r="F7" s="14" t="n">
        <v>0</v>
      </c>
      <c r="G7" s="14" t="n">
        <v>0</v>
      </c>
      <c r="H7" s="14" t="n">
        <v>0</v>
      </c>
      <c r="I7" s="15" t="s">
        <v>350</v>
      </c>
      <c r="J7" s="15" t="s">
        <v>350</v>
      </c>
      <c r="K7" s="15" t="s">
        <v>350</v>
      </c>
      <c r="L7" s="16" t="s">
        <v>185</v>
      </c>
      <c r="M7" s="16" t="s">
        <v>185</v>
      </c>
      <c r="N7" s="16" t="s">
        <v>351</v>
      </c>
      <c r="O7" s="17" t="n">
        <v>0</v>
      </c>
      <c r="P7" s="17" t="n">
        <v>0</v>
      </c>
      <c r="Q7" s="17" t="n">
        <v>0</v>
      </c>
    </row>
    <row r="8" customFormat="false" ht="32.25" hidden="false" customHeight="true" outlineLevel="0" collapsed="false">
      <c r="A8" s="11" t="s">
        <v>357</v>
      </c>
      <c r="B8" s="12" t="s">
        <v>358</v>
      </c>
      <c r="C8" s="13" t="s">
        <v>331</v>
      </c>
      <c r="D8" s="13" t="n">
        <v>194074</v>
      </c>
      <c r="E8" s="13" t="n">
        <v>179489.2</v>
      </c>
      <c r="F8" s="14" t="n">
        <v>1990679.9</v>
      </c>
      <c r="G8" s="14" t="n">
        <v>2408078.16</v>
      </c>
      <c r="H8" s="14" t="n">
        <v>2602703.66</v>
      </c>
      <c r="I8" s="15" t="n">
        <v>259590</v>
      </c>
      <c r="J8" s="15" t="n">
        <v>1146808</v>
      </c>
      <c r="K8" s="15" t="n">
        <v>1573448</v>
      </c>
      <c r="L8" s="16" t="n">
        <v>2960406</v>
      </c>
      <c r="M8" s="16" t="n">
        <v>2796159</v>
      </c>
      <c r="N8" s="16" t="n">
        <v>2822203</v>
      </c>
      <c r="O8" s="17" t="n">
        <v>740037.83</v>
      </c>
      <c r="P8" s="17" t="n">
        <v>862426.21</v>
      </c>
      <c r="Q8" s="17" t="n">
        <v>1121402.88</v>
      </c>
      <c r="R8" s="18" t="s">
        <v>359</v>
      </c>
    </row>
    <row r="9" customFormat="false" ht="15" hidden="false" customHeight="true" outlineLevel="0" collapsed="false">
      <c r="A9" s="11" t="s">
        <v>360</v>
      </c>
      <c r="B9" s="12" t="s">
        <v>358</v>
      </c>
      <c r="C9" s="13" t="s">
        <v>331</v>
      </c>
      <c r="D9" s="13" t="n">
        <v>194074</v>
      </c>
      <c r="E9" s="13" t="n">
        <v>179489.2</v>
      </c>
      <c r="F9" s="14" t="n">
        <v>398135.98</v>
      </c>
      <c r="G9" s="14" t="n">
        <v>481615.63</v>
      </c>
      <c r="H9" s="14" t="n">
        <v>520540.73</v>
      </c>
      <c r="I9" s="15" t="n">
        <v>259590</v>
      </c>
      <c r="J9" s="15" t="n">
        <v>1146808</v>
      </c>
      <c r="K9" s="15" t="n">
        <v>874138</v>
      </c>
      <c r="L9" s="16" t="n">
        <v>2960406</v>
      </c>
      <c r="M9" s="16" t="n">
        <v>2796159</v>
      </c>
      <c r="N9" s="16" t="n">
        <v>1567890</v>
      </c>
      <c r="O9" s="17" t="n">
        <v>740037.83</v>
      </c>
      <c r="P9" s="17" t="n">
        <v>862426.21</v>
      </c>
      <c r="Q9" s="17" t="n">
        <v>1121402.88</v>
      </c>
      <c r="R9" s="18" t="s">
        <v>361</v>
      </c>
    </row>
    <row r="10" customFormat="false" ht="32.25" hidden="false" customHeight="true" outlineLevel="0" collapsed="false">
      <c r="A10" s="11" t="s">
        <v>362</v>
      </c>
      <c r="B10" s="12" t="s">
        <v>363</v>
      </c>
      <c r="C10" s="13" t="s">
        <v>331</v>
      </c>
      <c r="D10" s="13" t="n">
        <v>0.000147</v>
      </c>
      <c r="E10" s="13" t="n">
        <v>0.000124</v>
      </c>
      <c r="F10" s="14" t="n">
        <v>2.07</v>
      </c>
      <c r="G10" s="14" t="n">
        <v>1.57</v>
      </c>
      <c r="H10" s="14" t="n">
        <v>1.5</v>
      </c>
      <c r="I10" s="15" t="n">
        <v>2.09</v>
      </c>
      <c r="J10" s="15" t="n">
        <v>7.18</v>
      </c>
      <c r="K10" s="15" t="n">
        <v>4.56</v>
      </c>
      <c r="L10" s="16" t="n">
        <v>8.03</v>
      </c>
      <c r="M10" s="16" t="n">
        <v>6.55</v>
      </c>
      <c r="N10" s="16" t="n">
        <v>3.26</v>
      </c>
      <c r="O10" s="17" t="n">
        <v>2.48E-006</v>
      </c>
      <c r="P10" s="17" t="n">
        <v>2.4642E-006</v>
      </c>
      <c r="Q10" s="17" t="n">
        <v>2.679E-006</v>
      </c>
      <c r="R10" s="18" t="s">
        <v>364</v>
      </c>
    </row>
    <row r="11" customFormat="false" ht="53.25" hidden="false" customHeight="true" outlineLevel="0" collapsed="false">
      <c r="A11" s="11" t="s">
        <v>365</v>
      </c>
      <c r="B11" s="12" t="s">
        <v>366</v>
      </c>
      <c r="C11" s="13" t="s">
        <v>331</v>
      </c>
      <c r="D11" s="13" t="n">
        <v>0.0033</v>
      </c>
      <c r="E11" s="13" t="n">
        <v>0.00256</v>
      </c>
      <c r="F11" s="14" t="n">
        <v>4.73</v>
      </c>
      <c r="G11" s="14" t="n">
        <v>3.58</v>
      </c>
      <c r="H11" s="14" t="n">
        <v>3.11</v>
      </c>
      <c r="I11" s="15" t="n">
        <v>44</v>
      </c>
      <c r="J11" s="15" t="n">
        <v>150</v>
      </c>
      <c r="K11" s="15" t="n">
        <v>94</v>
      </c>
      <c r="L11" s="16" t="s">
        <v>367</v>
      </c>
      <c r="M11" s="16" t="s">
        <v>368</v>
      </c>
      <c r="N11" s="16" t="n">
        <v>6.73</v>
      </c>
      <c r="O11" s="17" t="n">
        <v>7.18E-007</v>
      </c>
      <c r="P11" s="17" t="s">
        <v>369</v>
      </c>
      <c r="Q11" s="17" t="n">
        <v>5.53475E-005</v>
      </c>
      <c r="R11" s="18" t="s">
        <v>370</v>
      </c>
    </row>
    <row r="12" customFormat="false" ht="21.75" hidden="false" customHeight="true" outlineLevel="0" collapsed="false">
      <c r="A12" s="11" t="s">
        <v>371</v>
      </c>
      <c r="B12" s="12" t="s">
        <v>372</v>
      </c>
      <c r="C12" s="13" t="s">
        <v>331</v>
      </c>
      <c r="D12" s="13" t="s">
        <v>331</v>
      </c>
      <c r="E12" s="13" t="s">
        <v>331</v>
      </c>
      <c r="F12" s="14" t="n">
        <v>2.3</v>
      </c>
      <c r="G12" s="14" t="n">
        <v>2.26</v>
      </c>
      <c r="H12" s="14" t="n">
        <v>2.43</v>
      </c>
      <c r="I12" s="15" t="n">
        <v>2.01</v>
      </c>
      <c r="J12" s="15" t="n">
        <v>8.13</v>
      </c>
      <c r="K12" s="15" t="n">
        <v>6.68</v>
      </c>
      <c r="L12" s="16" t="n">
        <v>12.7</v>
      </c>
      <c r="M12" s="16" t="n">
        <v>12.06</v>
      </c>
      <c r="N12" s="16" t="n">
        <v>6.65</v>
      </c>
      <c r="O12" s="17" t="n">
        <v>11.554</v>
      </c>
      <c r="P12" s="17" t="n">
        <v>11.5537</v>
      </c>
      <c r="Q12" s="17" t="n">
        <v>14.04</v>
      </c>
    </row>
    <row r="13" customFormat="false" ht="15" hidden="false" customHeight="true" outlineLevel="0" collapsed="false">
      <c r="A13" s="11" t="s">
        <v>373</v>
      </c>
      <c r="B13" s="12" t="s">
        <v>348</v>
      </c>
      <c r="C13" s="13" t="s">
        <v>95</v>
      </c>
      <c r="D13" s="13" t="s">
        <v>95</v>
      </c>
      <c r="E13" s="13" t="s">
        <v>95</v>
      </c>
      <c r="F13" s="14" t="n">
        <v>1592543.92</v>
      </c>
      <c r="G13" s="14" t="n">
        <v>1926462.53</v>
      </c>
      <c r="H13" s="14" t="n">
        <v>2082162.93</v>
      </c>
      <c r="I13" s="15" t="s">
        <v>350</v>
      </c>
      <c r="J13" s="15" t="s">
        <v>350</v>
      </c>
      <c r="K13" s="15" t="s">
        <v>350</v>
      </c>
      <c r="L13" s="16" t="s">
        <v>185</v>
      </c>
      <c r="M13" s="16" t="s">
        <v>185</v>
      </c>
      <c r="N13" s="16" t="s">
        <v>185</v>
      </c>
      <c r="O13" s="17" t="n">
        <v>740037.83</v>
      </c>
      <c r="P13" s="17" t="n">
        <v>862426.21</v>
      </c>
      <c r="Q13" s="17" t="n">
        <v>1121402.88</v>
      </c>
    </row>
    <row r="14" customFormat="false" ht="15" hidden="false" customHeight="true" outlineLevel="0" collapsed="false">
      <c r="A14" s="11" t="s">
        <v>374</v>
      </c>
      <c r="B14" s="12" t="s">
        <v>348</v>
      </c>
      <c r="C14" s="13" t="s">
        <v>350</v>
      </c>
      <c r="D14" s="13" t="s">
        <v>350</v>
      </c>
      <c r="E14" s="13" t="s">
        <v>350</v>
      </c>
      <c r="F14" s="14" t="s">
        <v>350</v>
      </c>
      <c r="G14" s="14" t="s">
        <v>350</v>
      </c>
      <c r="H14" s="14" t="s">
        <v>350</v>
      </c>
      <c r="I14" s="15" t="s">
        <v>350</v>
      </c>
      <c r="J14" s="15" t="s">
        <v>375</v>
      </c>
      <c r="K14" s="15" t="n">
        <v>699310</v>
      </c>
      <c r="L14" s="16" t="s">
        <v>376</v>
      </c>
      <c r="M14" s="16" t="n">
        <v>1242737</v>
      </c>
      <c r="N14" s="16" t="n">
        <v>1254312</v>
      </c>
      <c r="O14" s="17" t="n">
        <v>0</v>
      </c>
      <c r="P14" s="17" t="n">
        <v>0</v>
      </c>
      <c r="Q14" s="17" t="n">
        <v>0</v>
      </c>
      <c r="R14" s="18" t="s">
        <v>377</v>
      </c>
    </row>
    <row r="15" customFormat="false" ht="21.75" hidden="false" customHeight="true" outlineLevel="0" collapsed="false">
      <c r="A15" s="11" t="s">
        <v>378</v>
      </c>
      <c r="B15" s="12" t="s">
        <v>348</v>
      </c>
      <c r="C15" s="13" t="s">
        <v>95</v>
      </c>
      <c r="D15" s="13" t="s">
        <v>95</v>
      </c>
      <c r="E15" s="13" t="s">
        <v>95</v>
      </c>
      <c r="F15" s="14" t="n">
        <v>1592543.92</v>
      </c>
      <c r="G15" s="14" t="n">
        <v>1926462.53</v>
      </c>
      <c r="H15" s="14" t="n">
        <v>2082162.93</v>
      </c>
      <c r="I15" s="15" t="s">
        <v>375</v>
      </c>
      <c r="J15" s="15" t="s">
        <v>375</v>
      </c>
      <c r="K15" s="15" t="n">
        <v>699310</v>
      </c>
      <c r="L15" s="16" t="s">
        <v>376</v>
      </c>
      <c r="M15" s="16" t="n">
        <v>1242737</v>
      </c>
      <c r="N15" s="16" t="n">
        <v>1254312</v>
      </c>
      <c r="O15" s="17" t="n">
        <v>740037.83</v>
      </c>
      <c r="P15" s="17" t="n">
        <v>862426.21</v>
      </c>
      <c r="Q15" s="17" t="n">
        <v>1121402.88</v>
      </c>
      <c r="R15" s="18" t="s">
        <v>379</v>
      </c>
    </row>
    <row r="16" customFormat="false" ht="68.25" hidden="false" customHeight="true" outlineLevel="0" collapsed="false">
      <c r="A16" s="11" t="s">
        <v>380</v>
      </c>
      <c r="B16" s="12" t="s">
        <v>381</v>
      </c>
      <c r="C16" s="13" t="s">
        <v>276</v>
      </c>
      <c r="D16" s="13" t="s">
        <v>276</v>
      </c>
      <c r="E16" s="13" t="s">
        <v>382</v>
      </c>
      <c r="F16" s="14" t="s">
        <v>383</v>
      </c>
      <c r="G16" s="14" t="s">
        <v>383</v>
      </c>
      <c r="H16" s="14" t="s">
        <v>383</v>
      </c>
      <c r="I16" s="15" t="s">
        <v>384</v>
      </c>
      <c r="J16" s="15" t="s">
        <v>384</v>
      </c>
      <c r="K16" s="15" t="s">
        <v>384</v>
      </c>
      <c r="L16" s="16" t="s">
        <v>385</v>
      </c>
      <c r="M16" s="16" t="s">
        <v>386</v>
      </c>
      <c r="N16" s="16" t="s">
        <v>387</v>
      </c>
      <c r="O16" s="17" t="s">
        <v>388</v>
      </c>
      <c r="P16" s="17" t="s">
        <v>389</v>
      </c>
      <c r="Q16" s="17" t="s">
        <v>390</v>
      </c>
    </row>
    <row r="17" customFormat="false" ht="23.25" hidden="false" customHeight="true" outlineLevel="0" collapsed="false">
      <c r="A17" s="11" t="s">
        <v>391</v>
      </c>
      <c r="B17" s="12" t="s">
        <v>348</v>
      </c>
      <c r="C17" s="13" t="s">
        <v>331</v>
      </c>
      <c r="D17" s="13" t="s">
        <v>331</v>
      </c>
      <c r="E17" s="13" t="s">
        <v>349</v>
      </c>
      <c r="F17" s="14" t="s">
        <v>93</v>
      </c>
      <c r="G17" s="14" t="s">
        <v>93</v>
      </c>
      <c r="H17" s="14" t="s">
        <v>93</v>
      </c>
      <c r="I17" s="15" t="s">
        <v>350</v>
      </c>
      <c r="J17" s="15" t="s">
        <v>350</v>
      </c>
      <c r="K17" s="15" t="s">
        <v>350</v>
      </c>
      <c r="L17" s="16" t="s">
        <v>95</v>
      </c>
      <c r="M17" s="16" t="s">
        <v>392</v>
      </c>
      <c r="N17" s="16" t="s">
        <v>392</v>
      </c>
      <c r="O17" s="17" t="s">
        <v>174</v>
      </c>
      <c r="P17" s="17" t="s">
        <v>393</v>
      </c>
      <c r="Q17" s="17" t="s">
        <v>394</v>
      </c>
      <c r="R17" s="18" t="s">
        <v>395</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396</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15" hidden="false" customHeight="true" outlineLevel="0" collapsed="false">
      <c r="A3" s="11" t="s">
        <v>397</v>
      </c>
      <c r="B3" s="12" t="s">
        <v>398</v>
      </c>
      <c r="C3" s="13" t="s">
        <v>93</v>
      </c>
      <c r="D3" s="13" t="s">
        <v>93</v>
      </c>
      <c r="E3" s="13" t="s">
        <v>331</v>
      </c>
      <c r="F3" s="14" t="s">
        <v>399</v>
      </c>
      <c r="G3" s="14" t="s">
        <v>399</v>
      </c>
      <c r="H3" s="14" t="n">
        <v>308.25</v>
      </c>
      <c r="I3" s="15" t="s">
        <v>384</v>
      </c>
      <c r="J3" s="15" t="s">
        <v>384</v>
      </c>
      <c r="K3" s="15" t="s">
        <v>384</v>
      </c>
      <c r="L3" s="16" t="s">
        <v>400</v>
      </c>
      <c r="M3" s="16" t="s">
        <v>400</v>
      </c>
      <c r="N3" s="16" t="s">
        <v>401</v>
      </c>
      <c r="O3" s="17" t="n">
        <v>0</v>
      </c>
      <c r="P3" s="17" t="n">
        <v>0</v>
      </c>
      <c r="Q3" s="17" t="n">
        <v>0</v>
      </c>
    </row>
    <row r="4" customFormat="false" ht="15" hidden="false" customHeight="true" outlineLevel="0" collapsed="false">
      <c r="A4" s="11" t="s">
        <v>402</v>
      </c>
      <c r="B4" s="12" t="s">
        <v>398</v>
      </c>
      <c r="C4" s="13" t="s">
        <v>93</v>
      </c>
      <c r="D4" s="13" t="s">
        <v>93</v>
      </c>
      <c r="E4" s="13" t="s">
        <v>331</v>
      </c>
      <c r="F4" s="14" t="s">
        <v>93</v>
      </c>
      <c r="G4" s="14" t="s">
        <v>93</v>
      </c>
      <c r="H4" s="14" t="n">
        <v>24.32</v>
      </c>
      <c r="I4" s="15" t="s">
        <v>384</v>
      </c>
      <c r="J4" s="15" t="s">
        <v>384</v>
      </c>
      <c r="K4" s="15" t="s">
        <v>384</v>
      </c>
      <c r="L4" s="16" t="s">
        <v>400</v>
      </c>
      <c r="M4" s="16" t="s">
        <v>400</v>
      </c>
      <c r="N4" s="16" t="s">
        <v>401</v>
      </c>
      <c r="O4" s="17" t="n">
        <v>0</v>
      </c>
      <c r="P4" s="17" t="n">
        <v>0</v>
      </c>
      <c r="Q4" s="17" t="n">
        <v>0</v>
      </c>
    </row>
    <row r="5" customFormat="false" ht="21.75" hidden="false" customHeight="true" outlineLevel="0" collapsed="false">
      <c r="A5" s="11" t="s">
        <v>403</v>
      </c>
      <c r="B5" s="12" t="s">
        <v>398</v>
      </c>
      <c r="C5" s="13" t="s">
        <v>93</v>
      </c>
      <c r="D5" s="13" t="s">
        <v>93</v>
      </c>
      <c r="E5" s="13" t="s">
        <v>331</v>
      </c>
      <c r="F5" s="14" t="s">
        <v>93</v>
      </c>
      <c r="G5" s="14" t="s">
        <v>93</v>
      </c>
      <c r="H5" s="14" t="n">
        <v>9.63</v>
      </c>
      <c r="I5" s="15" t="s">
        <v>384</v>
      </c>
      <c r="J5" s="15" t="s">
        <v>384</v>
      </c>
      <c r="K5" s="15" t="s">
        <v>384</v>
      </c>
      <c r="L5" s="16" t="s">
        <v>400</v>
      </c>
      <c r="M5" s="16" t="s">
        <v>400</v>
      </c>
      <c r="N5" s="16" t="s">
        <v>401</v>
      </c>
      <c r="O5" s="17" t="n">
        <v>0</v>
      </c>
      <c r="P5" s="17" t="n">
        <v>0</v>
      </c>
      <c r="Q5" s="17" t="n">
        <v>0</v>
      </c>
      <c r="R5" s="18" t="s">
        <v>404</v>
      </c>
    </row>
    <row r="6" customFormat="false" ht="15" hidden="false" customHeight="true" outlineLevel="0" collapsed="false">
      <c r="A6" s="11" t="s">
        <v>405</v>
      </c>
      <c r="B6" s="12" t="s">
        <v>398</v>
      </c>
      <c r="C6" s="13" t="s">
        <v>93</v>
      </c>
      <c r="D6" s="13" t="s">
        <v>93</v>
      </c>
      <c r="E6" s="13" t="s">
        <v>331</v>
      </c>
      <c r="F6" s="14" t="s">
        <v>93</v>
      </c>
      <c r="G6" s="14" t="s">
        <v>93</v>
      </c>
      <c r="H6" s="14" t="s">
        <v>350</v>
      </c>
      <c r="I6" s="15" t="s">
        <v>384</v>
      </c>
      <c r="J6" s="15" t="s">
        <v>384</v>
      </c>
      <c r="K6" s="15" t="s">
        <v>384</v>
      </c>
      <c r="L6" s="16" t="s">
        <v>400</v>
      </c>
      <c r="M6" s="16" t="s">
        <v>400</v>
      </c>
      <c r="N6" s="16" t="s">
        <v>401</v>
      </c>
      <c r="O6" s="17" t="n">
        <v>0</v>
      </c>
      <c r="P6" s="17" t="n">
        <v>0</v>
      </c>
      <c r="Q6" s="17" t="n">
        <v>0</v>
      </c>
      <c r="R6" s="18" t="s">
        <v>406</v>
      </c>
    </row>
    <row r="7" customFormat="false" ht="34.5" hidden="false" customHeight="true" outlineLevel="0" collapsed="false">
      <c r="A7" s="11" t="s">
        <v>407</v>
      </c>
      <c r="B7" s="12" t="s">
        <v>408</v>
      </c>
      <c r="C7" s="13" t="s">
        <v>409</v>
      </c>
      <c r="D7" s="13" t="s">
        <v>410</v>
      </c>
      <c r="E7" s="13" t="s">
        <v>411</v>
      </c>
      <c r="F7" s="14" t="n">
        <v>29661.21</v>
      </c>
      <c r="G7" s="14" t="n">
        <v>35818.59</v>
      </c>
      <c r="H7" s="14" t="n">
        <v>42024.21</v>
      </c>
      <c r="I7" s="15" t="s">
        <v>412</v>
      </c>
      <c r="J7" s="15" t="s">
        <v>412</v>
      </c>
      <c r="K7" s="15" t="s">
        <v>412</v>
      </c>
      <c r="L7" s="16" t="s">
        <v>413</v>
      </c>
      <c r="M7" s="16" t="s">
        <v>413</v>
      </c>
      <c r="N7" s="16" t="s">
        <v>413</v>
      </c>
      <c r="O7" s="17" t="s">
        <v>413</v>
      </c>
      <c r="P7" s="17" t="s">
        <v>413</v>
      </c>
      <c r="Q7" s="17" t="s">
        <v>413</v>
      </c>
      <c r="R7" s="18" t="s">
        <v>414</v>
      </c>
    </row>
    <row r="8" customFormat="false" ht="23.25" hidden="false" customHeight="true" outlineLevel="0" collapsed="false">
      <c r="A8" s="11" t="s">
        <v>415</v>
      </c>
      <c r="B8" s="12" t="s">
        <v>416</v>
      </c>
      <c r="C8" s="13" t="n">
        <v>29.12</v>
      </c>
      <c r="D8" s="13" t="n">
        <v>27.77</v>
      </c>
      <c r="E8" s="13" t="n">
        <v>31.86</v>
      </c>
      <c r="F8" s="14" t="n">
        <v>76.7</v>
      </c>
      <c r="G8" s="14" t="n">
        <v>51.35</v>
      </c>
      <c r="H8" s="14" t="n">
        <v>61.21</v>
      </c>
      <c r="I8" s="15" t="s">
        <v>417</v>
      </c>
      <c r="J8" s="15" t="s">
        <v>417</v>
      </c>
      <c r="K8" s="15" t="s">
        <v>417</v>
      </c>
      <c r="L8" s="16" t="s">
        <v>413</v>
      </c>
      <c r="M8" s="16" t="s">
        <v>413</v>
      </c>
      <c r="N8" s="16" t="s">
        <v>413</v>
      </c>
      <c r="O8" s="17" t="s">
        <v>413</v>
      </c>
      <c r="P8" s="17" t="s">
        <v>413</v>
      </c>
      <c r="Q8" s="17" t="s">
        <v>413</v>
      </c>
    </row>
    <row r="9" customFormat="false" ht="23.25" hidden="false" customHeight="true" outlineLevel="0" collapsed="false">
      <c r="A9" s="11" t="s">
        <v>418</v>
      </c>
      <c r="B9" s="12" t="s">
        <v>416</v>
      </c>
      <c r="C9" s="13" t="n">
        <v>16.34</v>
      </c>
      <c r="D9" s="13" t="n">
        <v>16.31</v>
      </c>
      <c r="E9" s="13" t="n">
        <v>18.71</v>
      </c>
      <c r="F9" s="14" t="n">
        <v>90.87</v>
      </c>
      <c r="G9" s="14" t="n">
        <v>442.51</v>
      </c>
      <c r="H9" s="14" t="n">
        <v>562.76</v>
      </c>
      <c r="I9" s="15" t="s">
        <v>417</v>
      </c>
      <c r="J9" s="15" t="s">
        <v>417</v>
      </c>
      <c r="K9" s="15" t="s">
        <v>417</v>
      </c>
      <c r="L9" s="16" t="s">
        <v>413</v>
      </c>
      <c r="M9" s="16" t="s">
        <v>413</v>
      </c>
      <c r="N9" s="16" t="s">
        <v>413</v>
      </c>
      <c r="O9" s="17" t="s">
        <v>413</v>
      </c>
      <c r="P9" s="17" t="s">
        <v>413</v>
      </c>
      <c r="Q9" s="17" t="s">
        <v>413</v>
      </c>
    </row>
    <row r="10" customFormat="false" ht="45.75" hidden="false" customHeight="true" outlineLevel="0" collapsed="false">
      <c r="A10" s="11" t="s">
        <v>419</v>
      </c>
      <c r="B10" s="12" t="s">
        <v>416</v>
      </c>
      <c r="C10" s="13" t="n">
        <v>2003.44</v>
      </c>
      <c r="D10" s="13" t="s">
        <v>420</v>
      </c>
      <c r="E10" s="13" t="s">
        <v>421</v>
      </c>
      <c r="F10" s="14" t="s">
        <v>422</v>
      </c>
      <c r="G10" s="14" t="n">
        <v>47868.03</v>
      </c>
      <c r="H10" s="14" t="n">
        <v>35351.32</v>
      </c>
      <c r="I10" s="15" t="s">
        <v>417</v>
      </c>
      <c r="J10" s="15" t="s">
        <v>417</v>
      </c>
      <c r="K10" s="15" t="s">
        <v>417</v>
      </c>
      <c r="L10" s="16" t="s">
        <v>413</v>
      </c>
      <c r="M10" s="16" t="s">
        <v>413</v>
      </c>
      <c r="N10" s="16" t="s">
        <v>413</v>
      </c>
      <c r="O10" s="17" t="s">
        <v>413</v>
      </c>
      <c r="P10" s="17" t="s">
        <v>413</v>
      </c>
      <c r="Q10" s="17" t="s">
        <v>413</v>
      </c>
    </row>
    <row r="11" customFormat="false" ht="34.5" hidden="false" customHeight="true" outlineLevel="0" collapsed="false">
      <c r="A11" s="11" t="s">
        <v>423</v>
      </c>
      <c r="B11" s="12" t="s">
        <v>424</v>
      </c>
      <c r="C11" s="13" t="s">
        <v>425</v>
      </c>
      <c r="D11" s="13" t="s">
        <v>425</v>
      </c>
      <c r="E11" s="13" t="s">
        <v>425</v>
      </c>
      <c r="F11" s="14" t="n">
        <v>29828.77</v>
      </c>
      <c r="G11" s="14" t="n">
        <v>84180.48</v>
      </c>
      <c r="H11" s="14" t="n">
        <v>77999.5</v>
      </c>
      <c r="I11" s="15" t="n">
        <v>23815.21</v>
      </c>
      <c r="J11" s="15" t="n">
        <v>25085.2</v>
      </c>
      <c r="K11" s="15" t="n">
        <v>26337.16</v>
      </c>
      <c r="L11" s="16" t="n">
        <v>217272</v>
      </c>
      <c r="M11" s="16" t="n">
        <v>147241</v>
      </c>
      <c r="N11" s="16" t="n">
        <v>49583</v>
      </c>
      <c r="O11" s="17" t="s">
        <v>426</v>
      </c>
      <c r="P11" s="17" t="n">
        <v>3963.44</v>
      </c>
      <c r="Q11" s="17" t="n">
        <v>4236.19</v>
      </c>
      <c r="R11" s="18" t="s">
        <v>427</v>
      </c>
    </row>
    <row r="12" customFormat="false" ht="32.25" hidden="false" customHeight="true" outlineLevel="0" collapsed="false">
      <c r="A12" s="11" t="s">
        <v>428</v>
      </c>
      <c r="B12" s="12" t="s">
        <v>424</v>
      </c>
      <c r="C12" s="13" t="n">
        <v>201192.57</v>
      </c>
      <c r="D12" s="13" t="n">
        <v>149684.74</v>
      </c>
      <c r="E12" s="13" t="n">
        <v>128997.62</v>
      </c>
      <c r="F12" s="14" t="n">
        <v>306840.44</v>
      </c>
      <c r="G12" s="14" t="n">
        <v>501899.03</v>
      </c>
      <c r="H12" s="14" t="n">
        <v>284877.91</v>
      </c>
      <c r="I12" s="15" t="n">
        <v>125950.45</v>
      </c>
      <c r="J12" s="15" t="n">
        <v>101164.93</v>
      </c>
      <c r="K12" s="15" t="n">
        <v>120039.73</v>
      </c>
      <c r="L12" s="16" t="n">
        <v>742732</v>
      </c>
      <c r="M12" s="16" t="n">
        <v>622670</v>
      </c>
      <c r="N12" s="16" t="n">
        <v>656819</v>
      </c>
      <c r="O12" s="17" t="n">
        <v>19374.46</v>
      </c>
      <c r="P12" s="17" t="n">
        <v>20219.56</v>
      </c>
      <c r="Q12" s="17" t="n">
        <v>24663.04</v>
      </c>
      <c r="R12" s="18" t="s">
        <v>429</v>
      </c>
    </row>
    <row r="13" customFormat="false" ht="42.75" hidden="false" customHeight="true" outlineLevel="0" collapsed="false">
      <c r="A13" s="11" t="s">
        <v>430</v>
      </c>
      <c r="B13" s="12" t="s">
        <v>431</v>
      </c>
      <c r="C13" s="13" t="n">
        <v>0.21</v>
      </c>
      <c r="D13" s="13" t="n">
        <v>0.126</v>
      </c>
      <c r="E13" s="13" t="n">
        <v>0.097</v>
      </c>
      <c r="F13" s="14" t="n">
        <v>1.75</v>
      </c>
      <c r="G13" s="14" t="n">
        <v>1.91</v>
      </c>
      <c r="H13" s="14" t="n">
        <v>1.05</v>
      </c>
      <c r="I13" s="15" t="n">
        <v>1.21</v>
      </c>
      <c r="J13" s="15" t="n">
        <v>0.79</v>
      </c>
      <c r="K13" s="15" t="n">
        <v>0.76</v>
      </c>
      <c r="L13" s="16" t="n">
        <v>2.6</v>
      </c>
      <c r="M13" s="16" t="n">
        <v>1.8</v>
      </c>
      <c r="N13" s="16" t="n">
        <v>1.47</v>
      </c>
      <c r="O13" s="17" t="n">
        <v>7.61E-008</v>
      </c>
      <c r="P13" s="17" t="n">
        <v>6.91E-008</v>
      </c>
      <c r="Q13" s="17" t="n">
        <v>6.9E-008</v>
      </c>
      <c r="R13" s="18" t="s">
        <v>432</v>
      </c>
    </row>
    <row r="14" customFormat="false" ht="53.25" hidden="false" customHeight="true" outlineLevel="0" collapsed="false">
      <c r="A14" s="11" t="s">
        <v>433</v>
      </c>
      <c r="B14" s="12" t="s">
        <v>434</v>
      </c>
      <c r="C14" s="13" t="s">
        <v>331</v>
      </c>
      <c r="D14" s="13" t="n">
        <v>2.81E-006</v>
      </c>
      <c r="E14" s="13" t="n">
        <v>2.01E-006</v>
      </c>
      <c r="F14" s="14" t="n">
        <v>4</v>
      </c>
      <c r="G14" s="14" t="n">
        <v>4.36</v>
      </c>
      <c r="H14" s="14" t="n">
        <v>2.17</v>
      </c>
      <c r="I14" s="15" t="n">
        <v>25</v>
      </c>
      <c r="J14" s="15" t="n">
        <v>17</v>
      </c>
      <c r="K14" s="15" t="n">
        <v>16</v>
      </c>
      <c r="L14" s="16" t="s">
        <v>435</v>
      </c>
      <c r="M14" s="16" t="s">
        <v>436</v>
      </c>
      <c r="N14" s="16" t="n">
        <v>3.03</v>
      </c>
      <c r="O14" s="17" t="n">
        <v>2.2E-008</v>
      </c>
      <c r="P14" s="17" t="s">
        <v>437</v>
      </c>
      <c r="Q14" s="17" t="n">
        <v>1.4263E-006</v>
      </c>
      <c r="R14" s="18" t="s">
        <v>438</v>
      </c>
    </row>
    <row r="15" customFormat="false" ht="32.25" hidden="false" customHeight="true" outlineLevel="0" collapsed="false">
      <c r="A15" s="11" t="s">
        <v>439</v>
      </c>
      <c r="B15" s="12" t="s">
        <v>440</v>
      </c>
      <c r="C15" s="13" t="n">
        <v>2.3</v>
      </c>
      <c r="D15" s="13" t="n">
        <v>1.59</v>
      </c>
      <c r="E15" s="13" t="n">
        <v>1.34</v>
      </c>
      <c r="F15" s="14" t="n">
        <v>1.94</v>
      </c>
      <c r="G15" s="14" t="n">
        <v>2.74</v>
      </c>
      <c r="H15" s="14" t="n">
        <v>1.69</v>
      </c>
      <c r="I15" s="15" t="n">
        <v>1.16</v>
      </c>
      <c r="J15" s="15" t="n">
        <v>0.9</v>
      </c>
      <c r="K15" s="15" t="n">
        <v>1.12</v>
      </c>
      <c r="L15" s="16" t="n">
        <v>4.07</v>
      </c>
      <c r="M15" s="16" t="n">
        <v>3.32</v>
      </c>
      <c r="N15" s="16" t="n">
        <v>3</v>
      </c>
      <c r="O15" s="17" t="n">
        <v>0.3543</v>
      </c>
      <c r="P15" s="17" t="n">
        <v>0.324</v>
      </c>
      <c r="Q15" s="17" t="n">
        <v>0.3618</v>
      </c>
    </row>
    <row r="16" customFormat="false" ht="34.5" hidden="false" customHeight="true" outlineLevel="0" collapsed="false">
      <c r="A16" s="11" t="s">
        <v>441</v>
      </c>
      <c r="B16" s="12" t="s">
        <v>173</v>
      </c>
      <c r="C16" s="13" t="s">
        <v>442</v>
      </c>
      <c r="D16" s="13" t="s">
        <v>443</v>
      </c>
      <c r="E16" s="13" t="s">
        <v>443</v>
      </c>
      <c r="F16" s="14" t="s">
        <v>175</v>
      </c>
      <c r="G16" s="14" t="s">
        <v>175</v>
      </c>
      <c r="H16" s="14" t="s">
        <v>176</v>
      </c>
      <c r="I16" s="15" t="s">
        <v>340</v>
      </c>
      <c r="J16" s="15" t="s">
        <v>340</v>
      </c>
      <c r="K16" s="15" t="s">
        <v>340</v>
      </c>
      <c r="L16" s="16" t="s">
        <v>174</v>
      </c>
      <c r="M16" s="16" t="s">
        <v>444</v>
      </c>
      <c r="N16" s="16" t="s">
        <v>445</v>
      </c>
      <c r="O16" s="17" t="s">
        <v>174</v>
      </c>
      <c r="P16" s="17" t="s">
        <v>222</v>
      </c>
      <c r="Q16" s="17" t="s">
        <v>223</v>
      </c>
    </row>
    <row r="17" customFormat="false" ht="23.25" hidden="false" customHeight="true" outlineLevel="0" collapsed="false">
      <c r="A17" s="11" t="s">
        <v>446</v>
      </c>
      <c r="B17" s="12" t="s">
        <v>226</v>
      </c>
      <c r="C17" s="13" t="s">
        <v>447</v>
      </c>
      <c r="D17" s="13" t="s">
        <v>448</v>
      </c>
      <c r="E17" s="13" t="s">
        <v>448</v>
      </c>
      <c r="F17" s="14" t="s">
        <v>447</v>
      </c>
      <c r="G17" s="14" t="s">
        <v>448</v>
      </c>
      <c r="H17" s="14" t="s">
        <v>448</v>
      </c>
      <c r="I17" s="15" t="s">
        <v>447</v>
      </c>
      <c r="J17" s="15" t="s">
        <v>448</v>
      </c>
      <c r="K17" s="15" t="s">
        <v>448</v>
      </c>
      <c r="L17" s="16" t="s">
        <v>447</v>
      </c>
      <c r="M17" s="16" t="s">
        <v>448</v>
      </c>
      <c r="N17" s="16" t="s">
        <v>448</v>
      </c>
      <c r="O17" s="17" t="s">
        <v>174</v>
      </c>
      <c r="P17" s="17" t="s">
        <v>449</v>
      </c>
      <c r="Q17" s="17" t="s">
        <v>448</v>
      </c>
      <c r="R17" s="18" t="s">
        <v>450</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451</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74.25" hidden="false" customHeight="true" outlineLevel="0" collapsed="false">
      <c r="A3" s="11" t="s">
        <v>452</v>
      </c>
      <c r="B3" s="12" t="s">
        <v>416</v>
      </c>
      <c r="C3" s="13" t="n">
        <v>54745.69</v>
      </c>
      <c r="D3" s="13" t="n">
        <v>39888.28</v>
      </c>
      <c r="E3" s="13" t="n">
        <v>41566.9</v>
      </c>
      <c r="F3" s="14" t="n">
        <v>48596.12</v>
      </c>
      <c r="G3" s="14" t="n">
        <v>62945.73</v>
      </c>
      <c r="H3" s="14" t="n">
        <v>230310.04</v>
      </c>
      <c r="I3" s="15" t="n">
        <v>17735</v>
      </c>
      <c r="J3" s="15" t="s">
        <v>453</v>
      </c>
      <c r="K3" s="15" t="n">
        <v>133459</v>
      </c>
      <c r="L3" s="16" t="n">
        <v>46299</v>
      </c>
      <c r="M3" s="16" t="n">
        <v>41500.63</v>
      </c>
      <c r="N3" s="16" t="n">
        <v>48494</v>
      </c>
      <c r="O3" s="17" t="s">
        <v>454</v>
      </c>
      <c r="P3" s="17" t="n">
        <v>66430.81</v>
      </c>
      <c r="Q3" s="17" t="n">
        <v>311499.57</v>
      </c>
      <c r="R3" s="18" t="s">
        <v>455</v>
      </c>
    </row>
    <row r="4" customFormat="false" ht="42.75" hidden="false" customHeight="true" outlineLevel="0" collapsed="false">
      <c r="A4" s="11" t="s">
        <v>456</v>
      </c>
      <c r="B4" s="12" t="s">
        <v>431</v>
      </c>
      <c r="C4" s="13" t="n">
        <v>0.054</v>
      </c>
      <c r="D4" s="13" t="n">
        <v>0.03</v>
      </c>
      <c r="E4" s="13" t="n">
        <v>0.029</v>
      </c>
      <c r="F4" s="14" t="n">
        <v>0.25</v>
      </c>
      <c r="G4" s="14" t="n">
        <v>0.2</v>
      </c>
      <c r="H4" s="14" t="n">
        <v>0.67</v>
      </c>
      <c r="I4" s="15" t="n">
        <v>0.14</v>
      </c>
      <c r="J4" s="15" t="s">
        <v>457</v>
      </c>
      <c r="K4" s="15" t="n">
        <v>0.7</v>
      </c>
      <c r="L4" s="16" t="n">
        <v>0.13</v>
      </c>
      <c r="M4" s="16" t="n">
        <v>0.09</v>
      </c>
      <c r="N4" s="16" t="n">
        <v>0.1</v>
      </c>
      <c r="O4" s="17" t="s">
        <v>96</v>
      </c>
      <c r="P4" s="17" t="n">
        <v>1.9E-007</v>
      </c>
      <c r="Q4" s="17" t="n">
        <v>7.442E-007</v>
      </c>
      <c r="R4" s="18" t="s">
        <v>432</v>
      </c>
    </row>
    <row r="5" customFormat="false" ht="21.75" hidden="false" customHeight="true" outlineLevel="0" collapsed="false">
      <c r="A5" s="11" t="s">
        <v>458</v>
      </c>
      <c r="B5" s="12" t="s">
        <v>459</v>
      </c>
      <c r="C5" s="13" t="n">
        <v>0.6</v>
      </c>
      <c r="D5" s="13" t="n">
        <v>0.38</v>
      </c>
      <c r="E5" s="13" t="n">
        <v>0.4</v>
      </c>
      <c r="F5" s="14" t="n">
        <v>0.28</v>
      </c>
      <c r="G5" s="14" t="n">
        <v>0.29</v>
      </c>
      <c r="H5" s="14" t="n">
        <v>1.07</v>
      </c>
      <c r="I5" s="15" t="n">
        <v>0.14</v>
      </c>
      <c r="J5" s="15" t="n">
        <v>1.14</v>
      </c>
      <c r="K5" s="15" t="n">
        <v>1.02</v>
      </c>
      <c r="L5" s="16" t="n">
        <v>0.2</v>
      </c>
      <c r="M5" s="16" t="n">
        <v>0.18</v>
      </c>
      <c r="N5" s="16" t="n">
        <v>0.2</v>
      </c>
      <c r="O5" s="17" t="s">
        <v>96</v>
      </c>
      <c r="P5" s="17" t="n">
        <v>0.8899</v>
      </c>
      <c r="Q5" s="17" t="s">
        <v>460</v>
      </c>
    </row>
    <row r="6" customFormat="false" ht="113.25" hidden="false" customHeight="true" outlineLevel="0" collapsed="false">
      <c r="A6" s="11" t="s">
        <v>461</v>
      </c>
      <c r="B6" s="12" t="s">
        <v>273</v>
      </c>
      <c r="C6" s="13" t="s">
        <v>462</v>
      </c>
      <c r="D6" s="13" t="s">
        <v>462</v>
      </c>
      <c r="E6" s="13" t="s">
        <v>462</v>
      </c>
      <c r="F6" s="14" t="s">
        <v>463</v>
      </c>
      <c r="G6" s="14" t="s">
        <v>464</v>
      </c>
      <c r="H6" s="14" t="s">
        <v>465</v>
      </c>
      <c r="I6" s="15" t="s">
        <v>466</v>
      </c>
      <c r="J6" s="15" t="s">
        <v>467</v>
      </c>
      <c r="K6" s="15" t="s">
        <v>468</v>
      </c>
      <c r="L6" s="16" t="s">
        <v>462</v>
      </c>
      <c r="M6" s="16" t="s">
        <v>469</v>
      </c>
      <c r="N6" s="16" t="s">
        <v>469</v>
      </c>
      <c r="O6" s="17" t="s">
        <v>470</v>
      </c>
      <c r="P6" s="17" t="s">
        <v>471</v>
      </c>
      <c r="Q6" s="17" t="s">
        <v>472</v>
      </c>
    </row>
    <row r="7" customFormat="false" ht="23.25" hidden="false" customHeight="true" outlineLevel="0" collapsed="false">
      <c r="A7" s="11" t="s">
        <v>473</v>
      </c>
      <c r="B7" s="12" t="s">
        <v>226</v>
      </c>
      <c r="C7" s="13" t="s">
        <v>442</v>
      </c>
      <c r="D7" s="13" t="s">
        <v>443</v>
      </c>
      <c r="E7" s="13" t="s">
        <v>443</v>
      </c>
      <c r="F7" s="14" t="s">
        <v>221</v>
      </c>
      <c r="G7" s="14" t="s">
        <v>221</v>
      </c>
      <c r="H7" s="14" t="s">
        <v>221</v>
      </c>
      <c r="I7" s="15" t="s">
        <v>344</v>
      </c>
      <c r="J7" s="15" t="s">
        <v>344</v>
      </c>
      <c r="K7" s="15" t="s">
        <v>344</v>
      </c>
      <c r="L7" s="16" t="s">
        <v>174</v>
      </c>
      <c r="M7" s="16" t="s">
        <v>474</v>
      </c>
      <c r="N7" s="16" t="s">
        <v>475</v>
      </c>
      <c r="O7" s="17" t="s">
        <v>174</v>
      </c>
      <c r="P7" s="17" t="s">
        <v>476</v>
      </c>
      <c r="Q7" s="17" t="s">
        <v>477</v>
      </c>
      <c r="R7" s="18" t="s">
        <v>478</v>
      </c>
    </row>
    <row r="8" customFormat="false" ht="90.75" hidden="false" customHeight="true" outlineLevel="0" collapsed="false">
      <c r="A8" s="11" t="s">
        <v>479</v>
      </c>
      <c r="B8" s="12" t="s">
        <v>273</v>
      </c>
      <c r="C8" s="13" t="s">
        <v>480</v>
      </c>
      <c r="D8" s="13" t="s">
        <v>480</v>
      </c>
      <c r="E8" s="13" t="s">
        <v>480</v>
      </c>
      <c r="F8" s="14" t="s">
        <v>95</v>
      </c>
      <c r="G8" s="14" t="s">
        <v>95</v>
      </c>
      <c r="H8" s="14" t="s">
        <v>481</v>
      </c>
      <c r="I8" s="15" t="s">
        <v>95</v>
      </c>
      <c r="J8" s="15" t="s">
        <v>95</v>
      </c>
      <c r="K8" s="15" t="s">
        <v>95</v>
      </c>
      <c r="L8" s="16" t="s">
        <v>95</v>
      </c>
      <c r="M8" s="16" t="s">
        <v>482</v>
      </c>
      <c r="N8" s="16" t="s">
        <v>483</v>
      </c>
      <c r="O8" s="17" t="s">
        <v>95</v>
      </c>
      <c r="P8" s="17" t="s">
        <v>95</v>
      </c>
      <c r="Q8" s="17" t="s">
        <v>95</v>
      </c>
    </row>
    <row r="9" customFormat="false" ht="79.5" hidden="false" customHeight="true" outlineLevel="0" collapsed="false">
      <c r="A9" s="11" t="s">
        <v>484</v>
      </c>
      <c r="B9" s="12" t="s">
        <v>273</v>
      </c>
      <c r="C9" s="13" t="s">
        <v>384</v>
      </c>
      <c r="D9" s="13" t="s">
        <v>485</v>
      </c>
      <c r="E9" s="13" t="s">
        <v>486</v>
      </c>
      <c r="F9" s="14" t="s">
        <v>487</v>
      </c>
      <c r="G9" s="14" t="s">
        <v>487</v>
      </c>
      <c r="H9" s="14" t="s">
        <v>487</v>
      </c>
      <c r="I9" s="15" t="s">
        <v>384</v>
      </c>
      <c r="J9" s="15" t="s">
        <v>384</v>
      </c>
      <c r="K9" s="15" t="s">
        <v>384</v>
      </c>
      <c r="L9" s="16" t="s">
        <v>174</v>
      </c>
      <c r="M9" s="16" t="s">
        <v>488</v>
      </c>
      <c r="N9" s="16" t="s">
        <v>489</v>
      </c>
      <c r="O9" s="17" t="s">
        <v>174</v>
      </c>
      <c r="P9" s="17" t="s">
        <v>490</v>
      </c>
      <c r="Q9" s="17" t="s">
        <v>491</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492</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15" hidden="false" customHeight="true" outlineLevel="0" collapsed="false">
      <c r="A3" s="11" t="s">
        <v>493</v>
      </c>
      <c r="B3" s="12" t="s">
        <v>398</v>
      </c>
      <c r="C3" s="13" t="n">
        <v>1.92</v>
      </c>
      <c r="D3" s="13" t="n">
        <v>4.99</v>
      </c>
      <c r="E3" s="13" t="n">
        <v>3.69</v>
      </c>
      <c r="F3" s="14" t="n">
        <v>7.01</v>
      </c>
      <c r="G3" s="14" t="n">
        <v>252.61</v>
      </c>
      <c r="H3" s="14" t="n">
        <v>105.91</v>
      </c>
      <c r="I3" s="15" t="n">
        <v>4.06</v>
      </c>
      <c r="J3" s="15" t="n">
        <v>1.9</v>
      </c>
      <c r="K3" s="15" t="s">
        <v>351</v>
      </c>
      <c r="L3" s="16" t="n">
        <v>257.7</v>
      </c>
      <c r="M3" s="16" t="n">
        <v>594</v>
      </c>
      <c r="N3" s="16" t="n">
        <v>683.42</v>
      </c>
      <c r="O3" s="17" t="n">
        <v>0.36</v>
      </c>
      <c r="P3" s="17" t="n">
        <v>0.67</v>
      </c>
      <c r="Q3" s="17" t="n">
        <v>0.42</v>
      </c>
    </row>
    <row r="4" customFormat="false" ht="21.75" hidden="false" customHeight="true" outlineLevel="0" collapsed="false">
      <c r="A4" s="11" t="s">
        <v>494</v>
      </c>
      <c r="B4" s="12" t="s">
        <v>398</v>
      </c>
      <c r="C4" s="13" t="n">
        <v>38.45</v>
      </c>
      <c r="D4" s="13" t="n">
        <v>28.79</v>
      </c>
      <c r="E4" s="13" t="n">
        <v>396.89</v>
      </c>
      <c r="F4" s="14" t="n">
        <v>87</v>
      </c>
      <c r="G4" s="14" t="n">
        <v>110.58</v>
      </c>
      <c r="H4" s="14" t="n">
        <v>165.39</v>
      </c>
      <c r="I4" s="15" t="n">
        <v>5.91</v>
      </c>
      <c r="J4" s="15" t="n">
        <v>176.67</v>
      </c>
      <c r="K4" s="15" t="n">
        <v>267.9</v>
      </c>
      <c r="L4" s="16" t="n">
        <v>112.32</v>
      </c>
      <c r="M4" s="16" t="n">
        <v>197.78</v>
      </c>
      <c r="N4" s="16" t="n">
        <v>215.9</v>
      </c>
      <c r="O4" s="17" t="n">
        <v>16.8</v>
      </c>
      <c r="P4" s="17" t="n">
        <v>18.78</v>
      </c>
      <c r="Q4" s="17" t="n">
        <v>255</v>
      </c>
      <c r="R4" s="18" t="s">
        <v>495</v>
      </c>
    </row>
    <row r="5" customFormat="false" ht="15" hidden="false" customHeight="true" outlineLevel="0" collapsed="false">
      <c r="A5" s="11" t="s">
        <v>496</v>
      </c>
      <c r="B5" s="12" t="s">
        <v>398</v>
      </c>
      <c r="C5" s="13" t="s">
        <v>497</v>
      </c>
      <c r="D5" s="13" t="n">
        <v>0</v>
      </c>
      <c r="E5" s="13" t="s">
        <v>331</v>
      </c>
      <c r="F5" s="14" t="s">
        <v>350</v>
      </c>
      <c r="G5" s="14" t="s">
        <v>350</v>
      </c>
      <c r="H5" s="14" t="s">
        <v>350</v>
      </c>
      <c r="I5" s="15" t="s">
        <v>350</v>
      </c>
      <c r="J5" s="15" t="s">
        <v>350</v>
      </c>
      <c r="K5" s="15" t="s">
        <v>350</v>
      </c>
      <c r="L5" s="16" t="s">
        <v>350</v>
      </c>
      <c r="M5" s="16" t="s">
        <v>350</v>
      </c>
      <c r="N5" s="16" t="s">
        <v>350</v>
      </c>
      <c r="O5" s="17" t="n">
        <v>0</v>
      </c>
      <c r="P5" s="17" t="n">
        <v>0</v>
      </c>
      <c r="Q5" s="17" t="n">
        <v>0</v>
      </c>
    </row>
    <row r="6" customFormat="false" ht="15" hidden="false" customHeight="true" outlineLevel="0" collapsed="false">
      <c r="A6" s="11" t="s">
        <v>498</v>
      </c>
      <c r="B6" s="12" t="s">
        <v>398</v>
      </c>
      <c r="C6" s="13" t="s">
        <v>497</v>
      </c>
      <c r="D6" s="13" t="n">
        <v>4.57</v>
      </c>
      <c r="E6" s="13" t="n">
        <v>16.53</v>
      </c>
      <c r="F6" s="14" t="s">
        <v>350</v>
      </c>
      <c r="G6" s="14" t="s">
        <v>350</v>
      </c>
      <c r="H6" s="14" t="s">
        <v>350</v>
      </c>
      <c r="I6" s="15" t="s">
        <v>350</v>
      </c>
      <c r="J6" s="15" t="s">
        <v>350</v>
      </c>
      <c r="K6" s="15" t="s">
        <v>350</v>
      </c>
      <c r="L6" s="16" t="s">
        <v>350</v>
      </c>
      <c r="M6" s="16" t="s">
        <v>350</v>
      </c>
      <c r="N6" s="16" t="s">
        <v>350</v>
      </c>
      <c r="O6" s="17" t="n">
        <v>0</v>
      </c>
      <c r="P6" s="17" t="n">
        <v>0</v>
      </c>
      <c r="Q6" s="17" t="n">
        <v>0</v>
      </c>
    </row>
    <row r="7" customFormat="false" ht="15" hidden="false" customHeight="true" outlineLevel="0" collapsed="false">
      <c r="A7" s="11" t="s">
        <v>499</v>
      </c>
      <c r="B7" s="12" t="s">
        <v>398</v>
      </c>
      <c r="C7" s="13" t="s">
        <v>497</v>
      </c>
      <c r="D7" s="13" t="n">
        <v>34.76</v>
      </c>
      <c r="E7" s="13" t="n">
        <v>34.48</v>
      </c>
      <c r="F7" s="14" t="n">
        <v>16.67</v>
      </c>
      <c r="G7" s="14" t="n">
        <v>20.51</v>
      </c>
      <c r="H7" s="14" t="n">
        <v>34.13</v>
      </c>
      <c r="I7" s="15" t="n">
        <v>1.02</v>
      </c>
      <c r="J7" s="15" t="n">
        <v>1.5</v>
      </c>
      <c r="K7" s="15" t="n">
        <v>66.71</v>
      </c>
      <c r="L7" s="16" t="s">
        <v>500</v>
      </c>
      <c r="M7" s="16" t="n">
        <v>704.88</v>
      </c>
      <c r="N7" s="16" t="n">
        <v>879.16</v>
      </c>
      <c r="O7" s="17" t="n">
        <v>47.14</v>
      </c>
      <c r="P7" s="17" t="n">
        <v>48.04</v>
      </c>
      <c r="Q7" s="17" t="n">
        <v>28.63</v>
      </c>
    </row>
    <row r="8" customFormat="false" ht="15" hidden="false" customHeight="true" outlineLevel="0" collapsed="false">
      <c r="A8" s="11" t="s">
        <v>501</v>
      </c>
      <c r="B8" s="12" t="s">
        <v>398</v>
      </c>
      <c r="C8" s="13" t="s">
        <v>93</v>
      </c>
      <c r="D8" s="13" t="n">
        <v>0</v>
      </c>
      <c r="E8" s="13" t="s">
        <v>93</v>
      </c>
      <c r="F8" s="14" t="s">
        <v>350</v>
      </c>
      <c r="G8" s="14" t="s">
        <v>350</v>
      </c>
      <c r="H8" s="14" t="s">
        <v>350</v>
      </c>
      <c r="I8" s="15" t="s">
        <v>350</v>
      </c>
      <c r="J8" s="15" t="s">
        <v>350</v>
      </c>
      <c r="K8" s="15" t="s">
        <v>350</v>
      </c>
      <c r="L8" s="16" t="s">
        <v>350</v>
      </c>
      <c r="M8" s="16" t="s">
        <v>350</v>
      </c>
      <c r="N8" s="16" t="s">
        <v>350</v>
      </c>
      <c r="O8" s="17" t="n">
        <v>0</v>
      </c>
      <c r="P8" s="17" t="n">
        <v>0</v>
      </c>
      <c r="Q8" s="17" t="n">
        <v>0</v>
      </c>
    </row>
    <row r="9" customFormat="false" ht="21.75" hidden="false" customHeight="true" outlineLevel="0" collapsed="false">
      <c r="A9" s="11" t="s">
        <v>502</v>
      </c>
      <c r="B9" s="12" t="s">
        <v>398</v>
      </c>
      <c r="C9" s="13" t="n">
        <v>0</v>
      </c>
      <c r="D9" s="13" t="n">
        <v>0</v>
      </c>
      <c r="E9" s="13" t="s">
        <v>93</v>
      </c>
      <c r="F9" s="14" t="n">
        <v>4.56</v>
      </c>
      <c r="G9" s="14" t="n">
        <v>89.85</v>
      </c>
      <c r="H9" s="14" t="n">
        <v>69.06</v>
      </c>
      <c r="I9" s="15" t="s">
        <v>350</v>
      </c>
      <c r="J9" s="15" t="s">
        <v>350</v>
      </c>
      <c r="K9" s="15" t="s">
        <v>350</v>
      </c>
      <c r="L9" s="16" t="s">
        <v>350</v>
      </c>
      <c r="M9" s="16" t="s">
        <v>350</v>
      </c>
      <c r="N9" s="16" t="s">
        <v>350</v>
      </c>
      <c r="O9" s="17" t="n">
        <v>0</v>
      </c>
      <c r="P9" s="17" t="n">
        <v>0</v>
      </c>
      <c r="Q9" s="17" t="n">
        <v>0</v>
      </c>
      <c r="R9" s="18" t="s">
        <v>503</v>
      </c>
    </row>
    <row r="10" customFormat="false" ht="57" hidden="false" customHeight="true" outlineLevel="0" collapsed="false">
      <c r="A10" s="11" t="s">
        <v>504</v>
      </c>
      <c r="B10" s="12" t="s">
        <v>398</v>
      </c>
      <c r="C10" s="13" t="s">
        <v>505</v>
      </c>
      <c r="D10" s="13" t="s">
        <v>506</v>
      </c>
      <c r="E10" s="13" t="s">
        <v>507</v>
      </c>
      <c r="F10" s="14" t="n">
        <v>14.24</v>
      </c>
      <c r="G10" s="14" t="n">
        <v>288.48</v>
      </c>
      <c r="H10" s="14" t="n">
        <v>297.02</v>
      </c>
      <c r="I10" s="15" t="s">
        <v>508</v>
      </c>
      <c r="J10" s="15" t="s">
        <v>509</v>
      </c>
      <c r="K10" s="15" t="s">
        <v>351</v>
      </c>
      <c r="L10" s="16" t="n">
        <v>583.29</v>
      </c>
      <c r="M10" s="16" t="n">
        <v>2179.18</v>
      </c>
      <c r="N10" s="16" t="n">
        <v>1490.78</v>
      </c>
      <c r="O10" s="17" t="n">
        <v>51.98</v>
      </c>
      <c r="P10" s="17" t="n">
        <v>434.78</v>
      </c>
      <c r="Q10" s="17" t="n">
        <v>330.06</v>
      </c>
      <c r="R10" s="18" t="s">
        <v>510</v>
      </c>
    </row>
    <row r="11" customFormat="false" ht="23.25" hidden="false" customHeight="true" outlineLevel="0" collapsed="false">
      <c r="A11" s="11" t="s">
        <v>511</v>
      </c>
      <c r="B11" s="12" t="s">
        <v>398</v>
      </c>
      <c r="C11" s="13" t="s">
        <v>512</v>
      </c>
      <c r="D11" s="13" t="s">
        <v>512</v>
      </c>
      <c r="E11" s="13" t="s">
        <v>512</v>
      </c>
      <c r="F11" s="14" t="n">
        <v>163.25</v>
      </c>
      <c r="G11" s="14" t="n">
        <v>3441.49</v>
      </c>
      <c r="H11" s="14" t="n">
        <v>3401.59</v>
      </c>
      <c r="I11" s="15" t="s">
        <v>512</v>
      </c>
      <c r="J11" s="15" t="s">
        <v>512</v>
      </c>
      <c r="K11" s="15" t="s">
        <v>512</v>
      </c>
      <c r="L11" s="16" t="n">
        <v>518.21</v>
      </c>
      <c r="M11" s="16" t="n">
        <v>3042.68</v>
      </c>
      <c r="N11" s="16" t="n">
        <v>1657.04</v>
      </c>
      <c r="O11" s="17" t="s">
        <v>512</v>
      </c>
      <c r="P11" s="17" t="s">
        <v>512</v>
      </c>
      <c r="Q11" s="17" t="s">
        <v>512</v>
      </c>
    </row>
    <row r="12" customFormat="false" ht="15" hidden="false" customHeight="true" outlineLevel="0" collapsed="false">
      <c r="A12" s="11" t="s">
        <v>513</v>
      </c>
      <c r="B12" s="12" t="s">
        <v>398</v>
      </c>
      <c r="C12" s="13" t="n">
        <v>162.41</v>
      </c>
      <c r="D12" s="13" t="n">
        <v>475.15</v>
      </c>
      <c r="E12" s="13" t="n">
        <v>856.04</v>
      </c>
      <c r="F12" s="14" t="n">
        <v>292.73</v>
      </c>
      <c r="G12" s="14" t="n">
        <v>4203.52</v>
      </c>
      <c r="H12" s="14" t="n">
        <v>4073.1</v>
      </c>
      <c r="I12" s="15" t="n">
        <v>35.24</v>
      </c>
      <c r="J12" s="15" t="n">
        <v>182.37</v>
      </c>
      <c r="K12" s="15" t="n">
        <v>334.61</v>
      </c>
      <c r="L12" s="16" t="n">
        <v>1471.52</v>
      </c>
      <c r="M12" s="16" t="n">
        <v>6718.52</v>
      </c>
      <c r="N12" s="16" t="n">
        <v>4926.3</v>
      </c>
      <c r="O12" s="17" t="n">
        <v>116.28</v>
      </c>
      <c r="P12" s="17" t="n">
        <v>502.27</v>
      </c>
      <c r="Q12" s="17" t="n">
        <v>614.11</v>
      </c>
    </row>
    <row r="13" customFormat="false" ht="32.25" hidden="false" customHeight="true" outlineLevel="0" collapsed="false">
      <c r="A13" s="11" t="s">
        <v>514</v>
      </c>
      <c r="B13" s="12" t="s">
        <v>515</v>
      </c>
      <c r="C13" s="13" t="s">
        <v>331</v>
      </c>
      <c r="D13" s="13" t="n">
        <v>3.605E-007</v>
      </c>
      <c r="E13" s="13" t="n">
        <v>6.53E-007</v>
      </c>
      <c r="F13" s="14" t="n">
        <v>0.002</v>
      </c>
      <c r="G13" s="14" t="n">
        <v>0.01</v>
      </c>
      <c r="H13" s="14" t="n">
        <v>0.01</v>
      </c>
      <c r="I13" s="15" t="s">
        <v>350</v>
      </c>
      <c r="J13" s="15" t="n">
        <v>0.001</v>
      </c>
      <c r="K13" s="15" t="n">
        <v>0.002</v>
      </c>
      <c r="L13" s="16" t="n">
        <v>0.004</v>
      </c>
      <c r="M13" s="16" t="n">
        <v>0.016</v>
      </c>
      <c r="N13" s="16" t="n">
        <v>0.01</v>
      </c>
      <c r="O13" s="17" t="n">
        <v>3.9E-010</v>
      </c>
      <c r="P13" s="17" t="n">
        <v>1.43E-009</v>
      </c>
      <c r="Q13" s="17" t="n">
        <v>1.5E-009</v>
      </c>
      <c r="R13" s="18" t="s">
        <v>516</v>
      </c>
    </row>
    <row r="14" customFormat="false" ht="42.75" hidden="false" customHeight="true" outlineLevel="0" collapsed="false">
      <c r="A14" s="11" t="s">
        <v>517</v>
      </c>
      <c r="B14" s="12" t="s">
        <v>518</v>
      </c>
      <c r="C14" s="13" t="s">
        <v>331</v>
      </c>
      <c r="D14" s="13" t="n">
        <v>8.08E-009</v>
      </c>
      <c r="E14" s="13" t="n">
        <v>1.22E-008</v>
      </c>
      <c r="F14" s="14" t="n">
        <v>0.002</v>
      </c>
      <c r="G14" s="14" t="n">
        <v>0.03</v>
      </c>
      <c r="H14" s="14" t="n">
        <v>0.02</v>
      </c>
      <c r="I14" s="15" t="s">
        <v>350</v>
      </c>
      <c r="J14" s="15" t="n">
        <v>0.024</v>
      </c>
      <c r="K14" s="15" t="n">
        <v>0.036</v>
      </c>
      <c r="L14" s="16" t="s">
        <v>519</v>
      </c>
      <c r="M14" s="16" t="s">
        <v>520</v>
      </c>
      <c r="N14" s="16" t="n">
        <v>0.021</v>
      </c>
      <c r="O14" s="17" t="n">
        <v>1.13E-010</v>
      </c>
      <c r="P14" s="17" t="s">
        <v>521</v>
      </c>
      <c r="Q14" s="17" t="n">
        <v>3.03E-008</v>
      </c>
      <c r="R14" s="18" t="s">
        <v>522</v>
      </c>
    </row>
    <row r="15" customFormat="false" ht="21.75" hidden="false" customHeight="true" outlineLevel="0" collapsed="false">
      <c r="A15" s="11" t="s">
        <v>523</v>
      </c>
      <c r="B15" s="12" t="s">
        <v>524</v>
      </c>
      <c r="C15" s="13" t="s">
        <v>331</v>
      </c>
      <c r="D15" s="13" t="s">
        <v>331</v>
      </c>
      <c r="E15" s="13" t="s">
        <v>331</v>
      </c>
      <c r="F15" s="14" t="n">
        <v>0.002</v>
      </c>
      <c r="G15" s="14" t="n">
        <v>0.02</v>
      </c>
      <c r="H15" s="14" t="n">
        <v>0.02</v>
      </c>
      <c r="I15" s="15" t="s">
        <v>350</v>
      </c>
      <c r="J15" s="15" t="n">
        <v>0.001</v>
      </c>
      <c r="K15" s="15" t="n">
        <v>0.003</v>
      </c>
      <c r="L15" s="16" t="n">
        <v>0.006</v>
      </c>
      <c r="M15" s="16" t="n">
        <v>0.029</v>
      </c>
      <c r="N15" s="16" t="n">
        <v>0.021</v>
      </c>
      <c r="O15" s="17" t="s">
        <v>96</v>
      </c>
      <c r="P15" s="17" t="s">
        <v>525</v>
      </c>
      <c r="Q15" s="17" t="n">
        <v>0.0076886769</v>
      </c>
      <c r="R15" s="18" t="s">
        <v>526</v>
      </c>
    </row>
    <row r="16" customFormat="false" ht="15" hidden="false" customHeight="true" outlineLevel="0" collapsed="false">
      <c r="A16" s="11" t="s">
        <v>527</v>
      </c>
      <c r="B16" s="12" t="s">
        <v>398</v>
      </c>
      <c r="C16" s="13" t="s">
        <v>331</v>
      </c>
      <c r="D16" s="13" t="s">
        <v>331</v>
      </c>
      <c r="E16" s="13" t="n">
        <v>656.87</v>
      </c>
      <c r="F16" s="14" t="n">
        <v>7.01</v>
      </c>
      <c r="G16" s="14" t="n">
        <v>140.41</v>
      </c>
      <c r="H16" s="14" t="n">
        <v>421.82</v>
      </c>
      <c r="I16" s="15" t="n">
        <v>30.24</v>
      </c>
      <c r="J16" s="15" t="n">
        <v>152.37</v>
      </c>
      <c r="K16" s="15" t="n">
        <v>294.27</v>
      </c>
      <c r="L16" s="16" t="n">
        <v>437.69</v>
      </c>
      <c r="M16" s="16" t="n">
        <v>1732.88</v>
      </c>
      <c r="N16" s="16" t="n">
        <v>843.03</v>
      </c>
      <c r="O16" s="17" t="n">
        <v>0</v>
      </c>
      <c r="P16" s="17" t="n">
        <v>0</v>
      </c>
      <c r="Q16" s="17" t="n">
        <v>0</v>
      </c>
      <c r="R16" s="18" t="s">
        <v>528</v>
      </c>
    </row>
    <row r="17" customFormat="false" ht="15" hidden="false" customHeight="true" outlineLevel="0" collapsed="false">
      <c r="A17" s="11" t="s">
        <v>529</v>
      </c>
      <c r="B17" s="12" t="s">
        <v>398</v>
      </c>
      <c r="C17" s="13" t="s">
        <v>331</v>
      </c>
      <c r="D17" s="13" t="s">
        <v>331</v>
      </c>
      <c r="E17" s="13" t="n">
        <v>0</v>
      </c>
      <c r="F17" s="14" t="n">
        <v>0</v>
      </c>
      <c r="G17" s="14" t="n">
        <v>0</v>
      </c>
      <c r="H17" s="14" t="n">
        <v>0</v>
      </c>
      <c r="I17" s="15" t="n">
        <v>0.8</v>
      </c>
      <c r="J17" s="15" t="n">
        <v>22.64</v>
      </c>
      <c r="K17" s="15" t="n">
        <v>34.45</v>
      </c>
      <c r="L17" s="16" t="n">
        <v>0</v>
      </c>
      <c r="M17" s="16" t="n">
        <v>2</v>
      </c>
      <c r="N17" s="16" t="n">
        <v>1</v>
      </c>
      <c r="O17" s="17" t="n">
        <v>0</v>
      </c>
      <c r="P17" s="17" t="n">
        <v>0</v>
      </c>
      <c r="Q17" s="17" t="n">
        <v>0</v>
      </c>
    </row>
    <row r="18" customFormat="false" ht="15" hidden="false" customHeight="true" outlineLevel="0" collapsed="false">
      <c r="A18" s="11" t="s">
        <v>530</v>
      </c>
      <c r="B18" s="12" t="s">
        <v>398</v>
      </c>
      <c r="C18" s="13" t="s">
        <v>331</v>
      </c>
      <c r="D18" s="13" t="s">
        <v>331</v>
      </c>
      <c r="E18" s="13" t="n">
        <v>182.37</v>
      </c>
      <c r="F18" s="14" t="n">
        <v>0</v>
      </c>
      <c r="G18" s="14" t="n">
        <v>0</v>
      </c>
      <c r="H18" s="14" t="n">
        <v>0</v>
      </c>
      <c r="I18" s="15" t="n">
        <v>0.2</v>
      </c>
      <c r="J18" s="15" t="n">
        <v>1.51</v>
      </c>
      <c r="K18" s="15" t="n">
        <v>0.6</v>
      </c>
      <c r="L18" s="16" t="n">
        <v>0</v>
      </c>
      <c r="M18" s="16" t="n">
        <v>519.42</v>
      </c>
      <c r="N18" s="16" t="n">
        <v>0</v>
      </c>
      <c r="O18" s="17" t="n">
        <v>116.28</v>
      </c>
      <c r="P18" s="17" t="n">
        <v>502.27</v>
      </c>
      <c r="Q18" s="17" t="n">
        <v>614.11</v>
      </c>
      <c r="R18" s="18" t="s">
        <v>531</v>
      </c>
    </row>
    <row r="19" customFormat="false" ht="15" hidden="false" customHeight="true" outlineLevel="0" collapsed="false">
      <c r="A19" s="11" t="s">
        <v>532</v>
      </c>
      <c r="B19" s="12" t="s">
        <v>398</v>
      </c>
      <c r="C19" s="13" t="s">
        <v>331</v>
      </c>
      <c r="D19" s="13" t="s">
        <v>331</v>
      </c>
      <c r="E19" s="13" t="n">
        <v>839.24</v>
      </c>
      <c r="F19" s="14" t="n">
        <v>7.01</v>
      </c>
      <c r="G19" s="14" t="n">
        <v>140.41</v>
      </c>
      <c r="H19" s="14" t="n">
        <v>421.82</v>
      </c>
      <c r="I19" s="15" t="n">
        <v>31.24</v>
      </c>
      <c r="J19" s="15" t="n">
        <v>176.52</v>
      </c>
      <c r="K19" s="15" t="n">
        <v>329.32</v>
      </c>
      <c r="L19" s="16" t="n">
        <v>437.69</v>
      </c>
      <c r="M19" s="16" t="n">
        <v>2254.3</v>
      </c>
      <c r="N19" s="16" t="n">
        <v>844.03</v>
      </c>
      <c r="O19" s="17" t="n">
        <v>116.28</v>
      </c>
      <c r="P19" s="17" t="n">
        <v>502.27</v>
      </c>
      <c r="Q19" s="17" t="n">
        <v>614.11</v>
      </c>
    </row>
    <row r="20" customFormat="false" ht="15" hidden="false" customHeight="true" outlineLevel="0" collapsed="false">
      <c r="A20" s="11" t="s">
        <v>533</v>
      </c>
      <c r="B20" s="12" t="s">
        <v>398</v>
      </c>
      <c r="C20" s="13" t="s">
        <v>497</v>
      </c>
      <c r="D20" s="13" t="s">
        <v>497</v>
      </c>
      <c r="E20" s="13" t="n">
        <v>0</v>
      </c>
      <c r="F20" s="14" t="s">
        <v>350</v>
      </c>
      <c r="G20" s="14" t="s">
        <v>350</v>
      </c>
      <c r="H20" s="14" t="s">
        <v>350</v>
      </c>
      <c r="I20" s="15" t="n">
        <v>0</v>
      </c>
      <c r="J20" s="15" t="n">
        <v>0.75</v>
      </c>
      <c r="K20" s="15" t="n">
        <v>2.32</v>
      </c>
      <c r="L20" s="16" t="n">
        <v>0</v>
      </c>
      <c r="M20" s="16" t="n">
        <v>2</v>
      </c>
      <c r="N20" s="16" t="n">
        <v>33.99</v>
      </c>
      <c r="O20" s="17" t="n">
        <v>0</v>
      </c>
      <c r="P20" s="17" t="n">
        <v>0</v>
      </c>
      <c r="Q20" s="17" t="n">
        <v>0</v>
      </c>
    </row>
    <row r="21" customFormat="false" ht="15" hidden="false" customHeight="true" outlineLevel="0" collapsed="false">
      <c r="A21" s="11" t="s">
        <v>534</v>
      </c>
      <c r="B21" s="12" t="s">
        <v>398</v>
      </c>
      <c r="C21" s="13" t="s">
        <v>497</v>
      </c>
      <c r="D21" s="13" t="s">
        <v>497</v>
      </c>
      <c r="E21" s="13" t="n">
        <v>24.86</v>
      </c>
      <c r="F21" s="14" t="s">
        <v>350</v>
      </c>
      <c r="G21" s="14" t="s">
        <v>350</v>
      </c>
      <c r="H21" s="14" t="s">
        <v>350</v>
      </c>
      <c r="I21" s="15" t="n">
        <v>1.5</v>
      </c>
      <c r="J21" s="15" t="n">
        <v>2.06</v>
      </c>
      <c r="K21" s="15" t="n">
        <v>2.97</v>
      </c>
      <c r="L21" s="16" t="n">
        <v>1033.83</v>
      </c>
      <c r="M21" s="16" t="n">
        <v>4123.07</v>
      </c>
      <c r="N21" s="16" t="n">
        <v>2996.85</v>
      </c>
      <c r="O21" s="17" t="n">
        <v>0</v>
      </c>
      <c r="P21" s="17" t="n">
        <v>0</v>
      </c>
      <c r="Q21" s="17" t="n">
        <v>0</v>
      </c>
    </row>
    <row r="22" customFormat="false" ht="34.5" hidden="false" customHeight="true" outlineLevel="0" collapsed="false">
      <c r="A22" s="11" t="s">
        <v>535</v>
      </c>
      <c r="B22" s="12" t="s">
        <v>398</v>
      </c>
      <c r="C22" s="13" t="s">
        <v>536</v>
      </c>
      <c r="D22" s="13" t="s">
        <v>536</v>
      </c>
      <c r="E22" s="13" t="n">
        <v>0</v>
      </c>
      <c r="F22" s="14" t="s">
        <v>350</v>
      </c>
      <c r="G22" s="14" t="n">
        <v>4063.11</v>
      </c>
      <c r="H22" s="14" t="n">
        <v>3651.29</v>
      </c>
      <c r="I22" s="15" t="n">
        <v>2.5</v>
      </c>
      <c r="J22" s="15" t="n">
        <v>3.05</v>
      </c>
      <c r="K22" s="15" t="s">
        <v>351</v>
      </c>
      <c r="L22" s="16" t="n">
        <v>0</v>
      </c>
      <c r="M22" s="16" t="n">
        <v>339.15</v>
      </c>
      <c r="N22" s="16" t="n">
        <v>1050.77</v>
      </c>
      <c r="O22" s="17" t="n">
        <v>0</v>
      </c>
      <c r="P22" s="17" t="n">
        <v>0</v>
      </c>
      <c r="Q22" s="17" t="n">
        <v>0</v>
      </c>
    </row>
    <row r="23" customFormat="false" ht="15" hidden="false" customHeight="true" outlineLevel="0" collapsed="false">
      <c r="A23" s="11" t="s">
        <v>537</v>
      </c>
      <c r="B23" s="12" t="s">
        <v>398</v>
      </c>
      <c r="C23" s="13" t="s">
        <v>497</v>
      </c>
      <c r="D23" s="13" t="s">
        <v>497</v>
      </c>
      <c r="E23" s="13" t="n">
        <v>24.87</v>
      </c>
      <c r="F23" s="14" t="s">
        <v>350</v>
      </c>
      <c r="G23" s="14" t="n">
        <v>4063.11</v>
      </c>
      <c r="H23" s="14" t="n">
        <v>3651.29</v>
      </c>
      <c r="I23" s="15" t="n">
        <v>4</v>
      </c>
      <c r="J23" s="15" t="n">
        <v>5.85</v>
      </c>
      <c r="K23" s="15" t="n">
        <v>5.28</v>
      </c>
      <c r="L23" s="16" t="n">
        <v>1033.83</v>
      </c>
      <c r="M23" s="16" t="n">
        <v>4464.22</v>
      </c>
      <c r="N23" s="16" t="n">
        <v>4081.61</v>
      </c>
      <c r="O23" s="17" t="n">
        <v>0</v>
      </c>
      <c r="P23" s="17" t="n">
        <v>0</v>
      </c>
      <c r="Q23" s="17" t="n">
        <v>0</v>
      </c>
      <c r="R23" s="18" t="s">
        <v>538</v>
      </c>
    </row>
    <row r="24" customFormat="false" ht="34.5" hidden="false" customHeight="true" outlineLevel="0" collapsed="false">
      <c r="A24" s="11" t="s">
        <v>539</v>
      </c>
      <c r="B24" s="12" t="s">
        <v>173</v>
      </c>
      <c r="C24" s="13" t="s">
        <v>442</v>
      </c>
      <c r="D24" s="13" t="s">
        <v>442</v>
      </c>
      <c r="E24" s="13" t="s">
        <v>443</v>
      </c>
      <c r="F24" s="14" t="s">
        <v>175</v>
      </c>
      <c r="G24" s="14" t="s">
        <v>175</v>
      </c>
      <c r="H24" s="14" t="s">
        <v>176</v>
      </c>
      <c r="I24" s="15" t="s">
        <v>340</v>
      </c>
      <c r="J24" s="15" t="s">
        <v>340</v>
      </c>
      <c r="K24" s="15" t="s">
        <v>340</v>
      </c>
      <c r="L24" s="16" t="s">
        <v>174</v>
      </c>
      <c r="M24" s="16" t="s">
        <v>444</v>
      </c>
      <c r="N24" s="16" t="s">
        <v>445</v>
      </c>
      <c r="O24" s="17" t="s">
        <v>174</v>
      </c>
      <c r="P24" s="17" t="s">
        <v>222</v>
      </c>
      <c r="Q24" s="17" t="s">
        <v>223</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7" min="3" style="1" width="16"/>
  </cols>
  <sheetData>
    <row r="1" customFormat="false" ht="15" hidden="false" customHeight="true" outlineLevel="0" collapsed="false">
      <c r="A1" s="8" t="s">
        <v>540</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113.25" hidden="false" customHeight="true" outlineLevel="0" collapsed="false">
      <c r="A3" s="11" t="s">
        <v>541</v>
      </c>
      <c r="B3" s="12" t="s">
        <v>234</v>
      </c>
      <c r="C3" s="13" t="s">
        <v>542</v>
      </c>
      <c r="D3" s="13" t="s">
        <v>236</v>
      </c>
      <c r="E3" s="13" t="s">
        <v>543</v>
      </c>
      <c r="F3" s="14" t="s">
        <v>544</v>
      </c>
      <c r="G3" s="14" t="s">
        <v>545</v>
      </c>
      <c r="H3" s="14" t="s">
        <v>546</v>
      </c>
      <c r="I3" s="15" t="s">
        <v>547</v>
      </c>
      <c r="J3" s="15" t="s">
        <v>548</v>
      </c>
      <c r="K3" s="15" t="s">
        <v>549</v>
      </c>
      <c r="L3" s="16" t="s">
        <v>550</v>
      </c>
      <c r="M3" s="16" t="s">
        <v>551</v>
      </c>
      <c r="N3" s="16" t="s">
        <v>552</v>
      </c>
      <c r="O3" s="17" t="s">
        <v>174</v>
      </c>
      <c r="P3" s="17" t="s">
        <v>553</v>
      </c>
      <c r="Q3" s="17" t="s">
        <v>554</v>
      </c>
    </row>
    <row r="4" customFormat="false" ht="57" hidden="false" customHeight="true" outlineLevel="0" collapsed="false">
      <c r="A4" s="11" t="s">
        <v>555</v>
      </c>
      <c r="B4" s="12" t="s">
        <v>381</v>
      </c>
      <c r="C4" s="13" t="s">
        <v>556</v>
      </c>
      <c r="D4" s="13" t="s">
        <v>93</v>
      </c>
      <c r="E4" s="13" t="s">
        <v>557</v>
      </c>
      <c r="F4" s="14" t="s">
        <v>558</v>
      </c>
      <c r="G4" s="14" t="s">
        <v>558</v>
      </c>
      <c r="H4" s="14" t="s">
        <v>558</v>
      </c>
      <c r="I4" s="15" t="s">
        <v>276</v>
      </c>
      <c r="J4" s="15" t="s">
        <v>276</v>
      </c>
      <c r="K4" s="15" t="s">
        <v>276</v>
      </c>
      <c r="L4" s="16" t="s">
        <v>174</v>
      </c>
      <c r="M4" s="16" t="s">
        <v>559</v>
      </c>
      <c r="N4" s="16" t="s">
        <v>560</v>
      </c>
      <c r="O4" s="17" t="s">
        <v>174</v>
      </c>
      <c r="P4" s="17" t="s">
        <v>561</v>
      </c>
      <c r="Q4" s="17" t="s">
        <v>394</v>
      </c>
    </row>
    <row r="5" customFormat="false" ht="45.75" hidden="false" customHeight="true" outlineLevel="0" collapsed="false">
      <c r="A5" s="11" t="s">
        <v>562</v>
      </c>
      <c r="B5" s="12" t="s">
        <v>381</v>
      </c>
      <c r="C5" s="13" t="s">
        <v>93</v>
      </c>
      <c r="D5" s="13" t="s">
        <v>93</v>
      </c>
      <c r="E5" s="13" t="s">
        <v>563</v>
      </c>
      <c r="F5" s="14" t="s">
        <v>93</v>
      </c>
      <c r="G5" s="14" t="s">
        <v>93</v>
      </c>
      <c r="H5" s="14" t="s">
        <v>93</v>
      </c>
      <c r="I5" s="15" t="s">
        <v>276</v>
      </c>
      <c r="J5" s="15" t="s">
        <v>276</v>
      </c>
      <c r="K5" s="15" t="s">
        <v>276</v>
      </c>
      <c r="L5" s="16" t="s">
        <v>174</v>
      </c>
      <c r="M5" s="16" t="s">
        <v>564</v>
      </c>
      <c r="N5" s="16" t="s">
        <v>564</v>
      </c>
      <c r="O5" s="17" t="s">
        <v>174</v>
      </c>
      <c r="P5" s="17" t="s">
        <v>565</v>
      </c>
      <c r="Q5" s="17" t="s">
        <v>394</v>
      </c>
    </row>
    <row r="6" customFormat="false" ht="34.5" hidden="false" customHeight="true" outlineLevel="0" collapsed="false">
      <c r="A6" s="11" t="s">
        <v>566</v>
      </c>
      <c r="B6" s="12" t="s">
        <v>226</v>
      </c>
      <c r="C6" s="13" t="s">
        <v>567</v>
      </c>
      <c r="D6" s="13" t="s">
        <v>567</v>
      </c>
      <c r="E6" s="13" t="s">
        <v>568</v>
      </c>
      <c r="F6" s="14" t="s">
        <v>569</v>
      </c>
      <c r="G6" s="14" t="s">
        <v>569</v>
      </c>
      <c r="H6" s="14" t="s">
        <v>569</v>
      </c>
      <c r="I6" s="15" t="s">
        <v>570</v>
      </c>
      <c r="J6" s="15" t="s">
        <v>570</v>
      </c>
      <c r="K6" s="15" t="s">
        <v>570</v>
      </c>
      <c r="L6" s="16" t="s">
        <v>174</v>
      </c>
      <c r="M6" s="16" t="s">
        <v>571</v>
      </c>
      <c r="N6" s="16" t="s">
        <v>572</v>
      </c>
      <c r="O6" s="17" t="s">
        <v>174</v>
      </c>
      <c r="P6" s="17" t="s">
        <v>573</v>
      </c>
      <c r="Q6" s="17" t="s">
        <v>574</v>
      </c>
      <c r="R6" s="18" t="s">
        <v>575</v>
      </c>
    </row>
    <row r="7" customFormat="false" ht="90.75" hidden="false" customHeight="true" outlineLevel="0" collapsed="false">
      <c r="A7" s="11" t="s">
        <v>576</v>
      </c>
      <c r="B7" s="12" t="s">
        <v>381</v>
      </c>
      <c r="C7" s="13" t="s">
        <v>577</v>
      </c>
      <c r="D7" s="13" t="s">
        <v>577</v>
      </c>
      <c r="E7" s="13" t="s">
        <v>578</v>
      </c>
      <c r="F7" s="14" t="s">
        <v>579</v>
      </c>
      <c r="G7" s="14" t="s">
        <v>580</v>
      </c>
      <c r="H7" s="14" t="s">
        <v>581</v>
      </c>
      <c r="I7" s="15" t="s">
        <v>582</v>
      </c>
      <c r="J7" s="15" t="s">
        <v>582</v>
      </c>
      <c r="K7" s="15" t="s">
        <v>583</v>
      </c>
      <c r="L7" s="16" t="s">
        <v>584</v>
      </c>
      <c r="M7" s="16" t="s">
        <v>585</v>
      </c>
      <c r="N7" s="16" t="s">
        <v>586</v>
      </c>
      <c r="O7" s="17" t="s">
        <v>174</v>
      </c>
      <c r="P7" s="17" t="s">
        <v>587</v>
      </c>
      <c r="Q7" s="17" t="s">
        <v>588</v>
      </c>
    </row>
    <row r="8" customFormat="false" ht="79.5" hidden="false" customHeight="true" outlineLevel="0" collapsed="false">
      <c r="A8" s="11" t="s">
        <v>589</v>
      </c>
      <c r="B8" s="12" t="s">
        <v>381</v>
      </c>
      <c r="C8" s="13" t="s">
        <v>276</v>
      </c>
      <c r="D8" s="13" t="s">
        <v>276</v>
      </c>
      <c r="E8" s="13" t="s">
        <v>590</v>
      </c>
      <c r="F8" s="14" t="s">
        <v>591</v>
      </c>
      <c r="G8" s="14" t="s">
        <v>591</v>
      </c>
      <c r="H8" s="14" t="s">
        <v>592</v>
      </c>
      <c r="I8" s="15" t="s">
        <v>384</v>
      </c>
      <c r="J8" s="15" t="s">
        <v>384</v>
      </c>
      <c r="K8" s="15" t="s">
        <v>384</v>
      </c>
      <c r="L8" s="16" t="s">
        <v>174</v>
      </c>
      <c r="M8" s="16" t="s">
        <v>593</v>
      </c>
      <c r="N8" s="16" t="s">
        <v>594</v>
      </c>
      <c r="O8" s="17" t="s">
        <v>595</v>
      </c>
      <c r="P8" s="17" t="s">
        <v>596</v>
      </c>
      <c r="Q8" s="17" t="s">
        <v>597</v>
      </c>
    </row>
    <row r="9" customFormat="false" ht="68.25" hidden="false" customHeight="true" outlineLevel="0" collapsed="false">
      <c r="A9" s="11" t="s">
        <v>598</v>
      </c>
      <c r="B9" s="12" t="s">
        <v>75</v>
      </c>
      <c r="C9" s="13" t="s">
        <v>276</v>
      </c>
      <c r="D9" s="13" t="s">
        <v>276</v>
      </c>
      <c r="E9" s="13" t="s">
        <v>599</v>
      </c>
      <c r="F9" s="14" t="s">
        <v>600</v>
      </c>
      <c r="G9" s="14" t="s">
        <v>600</v>
      </c>
      <c r="H9" s="14" t="s">
        <v>600</v>
      </c>
      <c r="I9" s="15" t="s">
        <v>601</v>
      </c>
      <c r="J9" s="15" t="s">
        <v>602</v>
      </c>
      <c r="K9" s="15" t="s">
        <v>603</v>
      </c>
      <c r="L9" s="16" t="s">
        <v>174</v>
      </c>
      <c r="M9" s="16" t="s">
        <v>604</v>
      </c>
      <c r="N9" s="16" t="s">
        <v>604</v>
      </c>
      <c r="O9" s="17" t="s">
        <v>595</v>
      </c>
      <c r="P9" s="17" t="s">
        <v>311</v>
      </c>
      <c r="Q9" s="17" t="s">
        <v>605</v>
      </c>
    </row>
    <row r="10" customFormat="false" ht="68.25" hidden="false" customHeight="true" outlineLevel="0" collapsed="false">
      <c r="A10" s="11" t="s">
        <v>606</v>
      </c>
      <c r="B10" s="12" t="s">
        <v>273</v>
      </c>
      <c r="C10" s="13" t="s">
        <v>607</v>
      </c>
      <c r="D10" s="13" t="s">
        <v>607</v>
      </c>
      <c r="E10" s="13" t="s">
        <v>608</v>
      </c>
      <c r="F10" s="14" t="s">
        <v>609</v>
      </c>
      <c r="G10" s="14" t="s">
        <v>609</v>
      </c>
      <c r="H10" s="14" t="s">
        <v>610</v>
      </c>
      <c r="I10" s="15" t="s">
        <v>609</v>
      </c>
      <c r="J10" s="15" t="s">
        <v>609</v>
      </c>
      <c r="K10" s="15" t="s">
        <v>611</v>
      </c>
      <c r="L10" s="16" t="s">
        <v>612</v>
      </c>
      <c r="M10" s="16" t="s">
        <v>612</v>
      </c>
      <c r="N10" s="16" t="s">
        <v>613</v>
      </c>
      <c r="O10" s="17" t="s">
        <v>595</v>
      </c>
      <c r="P10" s="17" t="s">
        <v>614</v>
      </c>
      <c r="Q10" s="17" t="s">
        <v>615</v>
      </c>
      <c r="R10" s="18" t="s">
        <v>616</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20"/>
  </cols>
  <sheetData>
    <row r="1" customFormat="false" ht="15" hidden="false" customHeight="true" outlineLevel="0" collapsed="false">
      <c r="A1" s="10" t="s">
        <v>617</v>
      </c>
      <c r="B1" s="10" t="s">
        <v>618</v>
      </c>
      <c r="C1" s="10" t="s">
        <v>619</v>
      </c>
    </row>
    <row r="2" customFormat="false" ht="90" hidden="false" customHeight="true" outlineLevel="0" collapsed="false">
      <c r="A2" s="19" t="s">
        <v>620</v>
      </c>
      <c r="B2" s="20" t="s">
        <v>621</v>
      </c>
      <c r="C2" s="11" t="s">
        <v>622</v>
      </c>
    </row>
    <row r="3" customFormat="false" ht="90" hidden="false" customHeight="true" outlineLevel="0" collapsed="false">
      <c r="A3" s="19" t="s">
        <v>620</v>
      </c>
      <c r="B3" s="20" t="s">
        <v>623</v>
      </c>
      <c r="C3" s="11" t="s">
        <v>624</v>
      </c>
    </row>
    <row r="4" customFormat="false" ht="90" hidden="false" customHeight="true" outlineLevel="0" collapsed="false">
      <c r="A4" s="19" t="s">
        <v>620</v>
      </c>
      <c r="B4" s="20" t="s">
        <v>625</v>
      </c>
      <c r="C4" s="11" t="s">
        <v>626</v>
      </c>
    </row>
    <row r="5" customFormat="false" ht="90" hidden="false" customHeight="true" outlineLevel="0" collapsed="false">
      <c r="A5" s="21" t="s">
        <v>627</v>
      </c>
      <c r="B5" s="22" t="s">
        <v>621</v>
      </c>
      <c r="C5" s="11" t="s">
        <v>622</v>
      </c>
    </row>
    <row r="6" customFormat="false" ht="90" hidden="false" customHeight="true" outlineLevel="0" collapsed="false">
      <c r="A6" s="21" t="s">
        <v>627</v>
      </c>
      <c r="B6" s="22" t="s">
        <v>623</v>
      </c>
      <c r="C6" s="11" t="s">
        <v>628</v>
      </c>
    </row>
    <row r="7" customFormat="false" ht="90" hidden="false" customHeight="true" outlineLevel="0" collapsed="false">
      <c r="A7" s="21" t="s">
        <v>627</v>
      </c>
      <c r="B7" s="22" t="s">
        <v>625</v>
      </c>
      <c r="C7" s="11" t="s">
        <v>629</v>
      </c>
    </row>
    <row r="8" customFormat="false" ht="90" hidden="false" customHeight="true" outlineLevel="0" collapsed="false">
      <c r="A8" s="23" t="s">
        <v>630</v>
      </c>
      <c r="B8" s="24" t="s">
        <v>621</v>
      </c>
      <c r="C8" s="11" t="s">
        <v>622</v>
      </c>
    </row>
    <row r="9" customFormat="false" ht="90" hidden="false" customHeight="true" outlineLevel="0" collapsed="false">
      <c r="A9" s="23" t="s">
        <v>630</v>
      </c>
      <c r="B9" s="24" t="s">
        <v>623</v>
      </c>
      <c r="C9" s="11" t="s">
        <v>631</v>
      </c>
    </row>
    <row r="10" customFormat="false" ht="90" hidden="false" customHeight="true" outlineLevel="0" collapsed="false">
      <c r="A10" s="23" t="s">
        <v>630</v>
      </c>
      <c r="B10" s="24" t="s">
        <v>625</v>
      </c>
      <c r="C10" s="11" t="s">
        <v>632</v>
      </c>
    </row>
    <row r="11" customFormat="false" ht="90" hidden="false" customHeight="true" outlineLevel="0" collapsed="false">
      <c r="A11" s="25" t="s">
        <v>633</v>
      </c>
      <c r="B11" s="26" t="s">
        <v>621</v>
      </c>
      <c r="C11" s="11" t="s">
        <v>622</v>
      </c>
    </row>
    <row r="12" customFormat="false" ht="90" hidden="false" customHeight="true" outlineLevel="0" collapsed="false">
      <c r="A12" s="25" t="s">
        <v>633</v>
      </c>
      <c r="B12" s="26" t="s">
        <v>623</v>
      </c>
      <c r="C12" s="11" t="s">
        <v>634</v>
      </c>
    </row>
    <row r="13" customFormat="false" ht="90" hidden="false" customHeight="true" outlineLevel="0" collapsed="false">
      <c r="A13" s="25" t="s">
        <v>633</v>
      </c>
      <c r="B13" s="26" t="s">
        <v>625</v>
      </c>
      <c r="C13" s="11" t="s">
        <v>635</v>
      </c>
    </row>
    <row r="14" customFormat="false" ht="90" hidden="false" customHeight="true" outlineLevel="0" collapsed="false">
      <c r="A14" s="27" t="s">
        <v>636</v>
      </c>
      <c r="B14" s="28" t="s">
        <v>621</v>
      </c>
      <c r="C14" s="11" t="s">
        <v>637</v>
      </c>
    </row>
    <row r="15" customFormat="false" ht="90" hidden="false" customHeight="true" outlineLevel="0" collapsed="false">
      <c r="A15" s="27" t="s">
        <v>636</v>
      </c>
      <c r="B15" s="28" t="s">
        <v>623</v>
      </c>
      <c r="C15" s="11" t="s">
        <v>638</v>
      </c>
    </row>
    <row r="16" customFormat="false" ht="90" hidden="false" customHeight="true" outlineLevel="0" collapsed="false">
      <c r="A16" s="27" t="s">
        <v>636</v>
      </c>
      <c r="B16" s="28" t="s">
        <v>625</v>
      </c>
      <c r="C16" s="11"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1" min="2" style="1" width="15"/>
  </cols>
  <sheetData>
    <row r="1" customFormat="false" ht="15" hidden="false" customHeight="true" outlineLevel="0" collapsed="false">
      <c r="A1" s="29" t="s">
        <v>640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row>
    <row r="2" customFormat="false" ht="15" hidden="false" customHeight="true" outlineLevel="0" collapsed="false">
      <c r="A2" s="10" t="s">
        <v>641</v>
      </c>
      <c r="B2" s="10" t="s">
        <v>56</v>
      </c>
      <c r="C2" s="10"/>
      <c r="D2" s="10" t="s">
        <v>57</v>
      </c>
      <c r="E2" s="10"/>
      <c r="F2" s="10" t="s">
        <v>58</v>
      </c>
      <c r="G2" s="10"/>
      <c r="H2" s="10" t="s">
        <v>59</v>
      </c>
      <c r="I2" s="10"/>
      <c r="J2" s="10" t="s">
        <v>60</v>
      </c>
      <c r="K2" s="10"/>
      <c r="L2" s="10" t="s">
        <v>61</v>
      </c>
      <c r="M2" s="10"/>
      <c r="N2" s="10" t="s">
        <v>62</v>
      </c>
      <c r="O2" s="10"/>
      <c r="P2" s="10" t="s">
        <v>63</v>
      </c>
      <c r="Q2" s="10"/>
      <c r="R2" s="10" t="s">
        <v>64</v>
      </c>
      <c r="S2" s="10"/>
      <c r="T2" s="10" t="s">
        <v>65</v>
      </c>
      <c r="U2" s="10"/>
      <c r="V2" s="10" t="s">
        <v>66</v>
      </c>
      <c r="W2" s="10"/>
      <c r="X2" s="10" t="s">
        <v>67</v>
      </c>
      <c r="Y2" s="10"/>
      <c r="Z2" s="10" t="s">
        <v>68</v>
      </c>
      <c r="AA2" s="10"/>
      <c r="AB2" s="10" t="s">
        <v>69</v>
      </c>
      <c r="AC2" s="10"/>
      <c r="AD2" s="10" t="s">
        <v>70</v>
      </c>
      <c r="AE2" s="10"/>
    </row>
    <row r="3" customFormat="false" ht="15" hidden="false" customHeight="true" outlineLevel="0" collapsed="false">
      <c r="A3" s="10"/>
      <c r="B3" s="30" t="s">
        <v>642</v>
      </c>
      <c r="C3" s="30" t="s">
        <v>643</v>
      </c>
      <c r="D3" s="30" t="s">
        <v>642</v>
      </c>
      <c r="E3" s="30" t="s">
        <v>643</v>
      </c>
      <c r="F3" s="30" t="s">
        <v>642</v>
      </c>
      <c r="G3" s="30" t="s">
        <v>643</v>
      </c>
      <c r="H3" s="30" t="s">
        <v>642</v>
      </c>
      <c r="I3" s="30" t="s">
        <v>643</v>
      </c>
      <c r="J3" s="30" t="s">
        <v>642</v>
      </c>
      <c r="K3" s="30" t="s">
        <v>643</v>
      </c>
      <c r="L3" s="30" t="s">
        <v>642</v>
      </c>
      <c r="M3" s="30" t="s">
        <v>643</v>
      </c>
      <c r="N3" s="30" t="s">
        <v>642</v>
      </c>
      <c r="O3" s="30" t="s">
        <v>643</v>
      </c>
      <c r="P3" s="30" t="s">
        <v>642</v>
      </c>
      <c r="Q3" s="30" t="s">
        <v>643</v>
      </c>
      <c r="R3" s="30" t="s">
        <v>642</v>
      </c>
      <c r="S3" s="30" t="s">
        <v>643</v>
      </c>
      <c r="T3" s="30" t="s">
        <v>642</v>
      </c>
      <c r="U3" s="30" t="s">
        <v>643</v>
      </c>
      <c r="V3" s="30" t="s">
        <v>642</v>
      </c>
      <c r="W3" s="30" t="s">
        <v>643</v>
      </c>
      <c r="X3" s="30" t="s">
        <v>642</v>
      </c>
      <c r="Y3" s="30" t="s">
        <v>643</v>
      </c>
      <c r="Z3" s="30" t="s">
        <v>642</v>
      </c>
      <c r="AA3" s="30" t="s">
        <v>643</v>
      </c>
      <c r="AB3" s="30" t="s">
        <v>642</v>
      </c>
      <c r="AC3" s="30" t="s">
        <v>643</v>
      </c>
      <c r="AD3" s="30" t="s">
        <v>642</v>
      </c>
      <c r="AE3" s="30" t="s">
        <v>643</v>
      </c>
    </row>
    <row r="4" customFormat="false" ht="15" hidden="false" customHeight="true" outlineLevel="0" collapsed="false">
      <c r="A4" s="11" t="s">
        <v>644</v>
      </c>
      <c r="B4" s="13" t="n">
        <v>0</v>
      </c>
      <c r="C4" s="13" t="n">
        <v>0</v>
      </c>
      <c r="D4" s="13" t="n">
        <v>0</v>
      </c>
      <c r="E4" s="13" t="n">
        <v>0</v>
      </c>
      <c r="F4" s="13" t="n">
        <v>0</v>
      </c>
      <c r="G4" s="13" t="n">
        <v>0</v>
      </c>
      <c r="H4" s="14" t="n">
        <v>2</v>
      </c>
      <c r="I4" s="14" t="n">
        <v>0</v>
      </c>
      <c r="J4" s="14" t="n">
        <v>5</v>
      </c>
      <c r="K4" s="14" t="n">
        <v>0</v>
      </c>
      <c r="L4" s="14" t="n">
        <v>1</v>
      </c>
      <c r="M4" s="14" t="n">
        <v>0</v>
      </c>
      <c r="N4" s="15" t="s">
        <v>350</v>
      </c>
      <c r="O4" s="15" t="s">
        <v>350</v>
      </c>
      <c r="P4" s="15" t="n">
        <v>57</v>
      </c>
      <c r="Q4" s="15" t="n">
        <v>2</v>
      </c>
      <c r="R4" s="15" t="n">
        <v>102</v>
      </c>
      <c r="S4" s="15" t="n">
        <v>7</v>
      </c>
      <c r="T4" s="16" t="s">
        <v>185</v>
      </c>
      <c r="U4" s="16" t="s">
        <v>185</v>
      </c>
      <c r="V4" s="16" t="s">
        <v>185</v>
      </c>
      <c r="W4" s="16" t="s">
        <v>185</v>
      </c>
      <c r="X4" s="16" t="s">
        <v>185</v>
      </c>
      <c r="Y4" s="16" t="s">
        <v>185</v>
      </c>
      <c r="Z4" s="17" t="n">
        <v>0</v>
      </c>
      <c r="AA4" s="17" t="n">
        <v>0</v>
      </c>
      <c r="AB4" s="17" t="n">
        <v>0</v>
      </c>
      <c r="AC4" s="17" t="n">
        <v>0</v>
      </c>
      <c r="AD4" s="17" t="n">
        <v>0</v>
      </c>
      <c r="AE4" s="17" t="n">
        <v>0</v>
      </c>
    </row>
    <row r="5" customFormat="false" ht="23.25" hidden="false" customHeight="true" outlineLevel="0" collapsed="false">
      <c r="A5" s="11" t="s">
        <v>645</v>
      </c>
      <c r="B5" s="13" t="s">
        <v>646</v>
      </c>
      <c r="C5" s="13" t="s">
        <v>646</v>
      </c>
      <c r="D5" s="13" t="s">
        <v>350</v>
      </c>
      <c r="E5" s="13" t="s">
        <v>350</v>
      </c>
      <c r="F5" s="13" t="n">
        <v>12744</v>
      </c>
      <c r="G5" s="13" t="n">
        <v>544</v>
      </c>
      <c r="H5" s="14" t="n">
        <v>33</v>
      </c>
      <c r="I5" s="14" t="n">
        <v>0</v>
      </c>
      <c r="J5" s="14" t="n">
        <v>36</v>
      </c>
      <c r="K5" s="14" t="n">
        <v>0</v>
      </c>
      <c r="L5" s="14" t="n">
        <v>43</v>
      </c>
      <c r="M5" s="14" t="n">
        <v>1</v>
      </c>
      <c r="N5" s="15" t="s">
        <v>350</v>
      </c>
      <c r="O5" s="15" t="s">
        <v>350</v>
      </c>
      <c r="P5" s="15" t="s">
        <v>350</v>
      </c>
      <c r="Q5" s="15" t="s">
        <v>350</v>
      </c>
      <c r="R5" s="15" t="s">
        <v>350</v>
      </c>
      <c r="S5" s="15" t="s">
        <v>350</v>
      </c>
      <c r="T5" s="16" t="s">
        <v>185</v>
      </c>
      <c r="U5" s="16" t="s">
        <v>185</v>
      </c>
      <c r="V5" s="16" t="s">
        <v>185</v>
      </c>
      <c r="W5" s="16" t="s">
        <v>185</v>
      </c>
      <c r="X5" s="16" t="s">
        <v>185</v>
      </c>
      <c r="Y5" s="16" t="s">
        <v>185</v>
      </c>
      <c r="Z5" s="17" t="n">
        <v>0</v>
      </c>
      <c r="AA5" s="17" t="n">
        <v>0</v>
      </c>
      <c r="AB5" s="17" t="n">
        <v>0</v>
      </c>
      <c r="AC5" s="17" t="n">
        <v>0</v>
      </c>
      <c r="AD5" s="17" t="n">
        <v>0</v>
      </c>
      <c r="AE5" s="17" t="n">
        <v>0</v>
      </c>
    </row>
    <row r="6" customFormat="false" ht="15" hidden="false" customHeight="true" outlineLevel="0" collapsed="false">
      <c r="A6" s="11" t="s">
        <v>647</v>
      </c>
      <c r="B6" s="13" t="n">
        <v>0</v>
      </c>
      <c r="C6" s="13" t="n">
        <v>0</v>
      </c>
      <c r="D6" s="13" t="n">
        <v>0</v>
      </c>
      <c r="E6" s="13" t="n">
        <v>0</v>
      </c>
      <c r="F6" s="13" t="n">
        <v>0</v>
      </c>
      <c r="G6" s="13" t="n">
        <v>0</v>
      </c>
      <c r="H6" s="14" t="n">
        <v>0</v>
      </c>
      <c r="I6" s="14" t="n">
        <v>0</v>
      </c>
      <c r="J6" s="14" t="n">
        <v>0</v>
      </c>
      <c r="K6" s="14" t="n">
        <v>0</v>
      </c>
      <c r="L6" s="14" t="n">
        <v>0</v>
      </c>
      <c r="M6" s="14" t="n">
        <v>0</v>
      </c>
      <c r="N6" s="15" t="s">
        <v>350</v>
      </c>
      <c r="O6" s="15" t="s">
        <v>350</v>
      </c>
      <c r="P6" s="15" t="s">
        <v>350</v>
      </c>
      <c r="Q6" s="15" t="s">
        <v>350</v>
      </c>
      <c r="R6" s="15" t="s">
        <v>350</v>
      </c>
      <c r="S6" s="15" t="s">
        <v>350</v>
      </c>
      <c r="T6" s="16" t="n">
        <v>692370</v>
      </c>
      <c r="U6" s="16" t="n">
        <v>95147</v>
      </c>
      <c r="V6" s="16" t="n">
        <v>824254</v>
      </c>
      <c r="W6" s="16" t="n">
        <v>103649</v>
      </c>
      <c r="X6" s="16" t="n">
        <v>687591</v>
      </c>
      <c r="Y6" s="16" t="n">
        <v>105196</v>
      </c>
      <c r="Z6" s="17" t="n">
        <v>0</v>
      </c>
      <c r="AA6" s="17" t="n">
        <v>0</v>
      </c>
      <c r="AB6" s="17" t="n">
        <v>0</v>
      </c>
      <c r="AC6" s="17" t="n">
        <v>0</v>
      </c>
      <c r="AD6" s="17" t="n">
        <v>0</v>
      </c>
      <c r="AE6" s="17" t="n">
        <v>0</v>
      </c>
    </row>
    <row r="7" customFormat="false" ht="23.25" hidden="false" customHeight="true" outlineLevel="0" collapsed="false">
      <c r="A7" s="11" t="s">
        <v>648</v>
      </c>
      <c r="B7" s="13" t="s">
        <v>646</v>
      </c>
      <c r="C7" s="13" t="s">
        <v>646</v>
      </c>
      <c r="D7" s="13" t="n">
        <v>0</v>
      </c>
      <c r="E7" s="13" t="n">
        <v>0</v>
      </c>
      <c r="F7" s="13" t="n">
        <v>497247</v>
      </c>
      <c r="G7" s="13" t="n">
        <v>8782</v>
      </c>
      <c r="H7" s="14" t="n">
        <v>2457</v>
      </c>
      <c r="I7" s="14" t="n">
        <v>11</v>
      </c>
      <c r="J7" s="14" t="n">
        <v>3063</v>
      </c>
      <c r="K7" s="14" t="n">
        <v>29</v>
      </c>
      <c r="L7" s="14" t="n">
        <v>3166</v>
      </c>
      <c r="M7" s="14" t="n">
        <v>27</v>
      </c>
      <c r="N7" s="15" t="n">
        <v>248337</v>
      </c>
      <c r="O7" s="15" t="n">
        <v>14429</v>
      </c>
      <c r="P7" s="15" t="n">
        <v>346151</v>
      </c>
      <c r="Q7" s="15" t="n">
        <v>22537</v>
      </c>
      <c r="R7" s="15" t="n">
        <v>534477</v>
      </c>
      <c r="S7" s="15" t="n">
        <v>45151</v>
      </c>
      <c r="T7" s="16" t="n">
        <v>1329</v>
      </c>
      <c r="U7" s="16" t="n">
        <v>20</v>
      </c>
      <c r="V7" s="16" t="n">
        <v>7223</v>
      </c>
      <c r="W7" s="16" t="n">
        <v>0</v>
      </c>
      <c r="X7" s="16" t="n">
        <v>12502</v>
      </c>
      <c r="Y7" s="16" t="s">
        <v>185</v>
      </c>
      <c r="Z7" s="17" t="n">
        <v>0</v>
      </c>
      <c r="AA7" s="17" t="n">
        <v>0</v>
      </c>
      <c r="AB7" s="17" t="n">
        <v>0</v>
      </c>
      <c r="AC7" s="17" t="n">
        <v>0</v>
      </c>
      <c r="AD7" s="17" t="n">
        <v>0</v>
      </c>
      <c r="AE7" s="17" t="n">
        <v>0</v>
      </c>
    </row>
    <row r="8" customFormat="false" ht="23.25" hidden="false" customHeight="true" outlineLevel="0" collapsed="false">
      <c r="A8" s="11" t="s">
        <v>649</v>
      </c>
      <c r="B8" s="13" t="s">
        <v>646</v>
      </c>
      <c r="C8" s="13" t="s">
        <v>646</v>
      </c>
      <c r="D8" s="13" t="n">
        <v>0</v>
      </c>
      <c r="E8" s="13" t="n">
        <v>0</v>
      </c>
      <c r="F8" s="13" t="n">
        <v>0</v>
      </c>
      <c r="G8" s="13" t="n">
        <v>0</v>
      </c>
      <c r="H8" s="14" t="s">
        <v>350</v>
      </c>
      <c r="I8" s="14" t="s">
        <v>350</v>
      </c>
      <c r="J8" s="14" t="s">
        <v>350</v>
      </c>
      <c r="K8" s="14" t="s">
        <v>350</v>
      </c>
      <c r="L8" s="14" t="s">
        <v>350</v>
      </c>
      <c r="M8" s="14" t="s">
        <v>350</v>
      </c>
      <c r="N8" s="15" t="s">
        <v>350</v>
      </c>
      <c r="O8" s="15" t="s">
        <v>350</v>
      </c>
      <c r="P8" s="15" t="s">
        <v>350</v>
      </c>
      <c r="Q8" s="15" t="s">
        <v>350</v>
      </c>
      <c r="R8" s="15" t="s">
        <v>350</v>
      </c>
      <c r="S8" s="15" t="s">
        <v>350</v>
      </c>
      <c r="T8" s="16" t="s">
        <v>350</v>
      </c>
      <c r="U8" s="16" t="s">
        <v>350</v>
      </c>
      <c r="V8" s="16" t="s">
        <v>350</v>
      </c>
      <c r="W8" s="16" t="s">
        <v>350</v>
      </c>
      <c r="X8" s="16" t="s">
        <v>185</v>
      </c>
      <c r="Y8" s="16" t="s">
        <v>185</v>
      </c>
      <c r="Z8" s="17" t="n">
        <v>0</v>
      </c>
      <c r="AA8" s="17" t="n">
        <v>0</v>
      </c>
      <c r="AB8" s="17" t="n">
        <v>0</v>
      </c>
      <c r="AC8" s="17" t="n">
        <v>0</v>
      </c>
      <c r="AD8" s="17" t="n">
        <v>0</v>
      </c>
      <c r="AE8" s="17" t="n">
        <v>0</v>
      </c>
    </row>
    <row r="9" customFormat="false" ht="15" hidden="false" customHeight="true" outlineLevel="0" collapsed="false">
      <c r="A9" s="11" t="s">
        <v>650</v>
      </c>
      <c r="B9" s="13" t="n">
        <v>38197</v>
      </c>
      <c r="C9" s="13" t="s">
        <v>95</v>
      </c>
      <c r="D9" s="13" t="n">
        <v>16940</v>
      </c>
      <c r="E9" s="13" t="n">
        <v>0</v>
      </c>
      <c r="F9" s="13" t="n">
        <v>4438</v>
      </c>
      <c r="G9" s="13" t="n">
        <v>146</v>
      </c>
      <c r="H9" s="14" t="n">
        <v>7616</v>
      </c>
      <c r="I9" s="14" t="n">
        <v>88</v>
      </c>
      <c r="J9" s="14" t="n">
        <v>11563</v>
      </c>
      <c r="K9" s="14" t="n">
        <v>72</v>
      </c>
      <c r="L9" s="14" t="n">
        <v>12100</v>
      </c>
      <c r="M9" s="14" t="n">
        <v>145</v>
      </c>
      <c r="N9" s="15" t="s">
        <v>350</v>
      </c>
      <c r="O9" s="15" t="s">
        <v>350</v>
      </c>
      <c r="P9" s="15" t="n">
        <v>106</v>
      </c>
      <c r="Q9" s="15" t="s">
        <v>350</v>
      </c>
      <c r="R9" s="15" t="n">
        <v>65</v>
      </c>
      <c r="S9" s="15" t="n">
        <v>3</v>
      </c>
      <c r="T9" s="16" t="s">
        <v>350</v>
      </c>
      <c r="U9" s="16" t="s">
        <v>350</v>
      </c>
      <c r="V9" s="16" t="s">
        <v>350</v>
      </c>
      <c r="W9" s="16" t="s">
        <v>350</v>
      </c>
      <c r="X9" s="16" t="s">
        <v>185</v>
      </c>
      <c r="Y9" s="16" t="s">
        <v>185</v>
      </c>
      <c r="Z9" s="17" t="n">
        <v>0</v>
      </c>
      <c r="AA9" s="17" t="n">
        <v>0</v>
      </c>
      <c r="AB9" s="17" t="n">
        <v>0</v>
      </c>
      <c r="AC9" s="17" t="n">
        <v>0</v>
      </c>
      <c r="AD9" s="17" t="n">
        <v>0</v>
      </c>
      <c r="AE9" s="17" t="n">
        <v>0</v>
      </c>
    </row>
    <row r="10" customFormat="false" ht="15" hidden="false" customHeight="true" outlineLevel="0" collapsed="false">
      <c r="A10" s="11" t="s">
        <v>651</v>
      </c>
      <c r="B10" s="13" t="n">
        <v>0</v>
      </c>
      <c r="C10" s="13" t="n">
        <v>0</v>
      </c>
      <c r="D10" s="13" t="s">
        <v>350</v>
      </c>
      <c r="E10" s="13" t="s">
        <v>350</v>
      </c>
      <c r="F10" s="13" t="n">
        <v>76111</v>
      </c>
      <c r="G10" s="13" t="n">
        <v>1671</v>
      </c>
      <c r="H10" s="14" t="n">
        <v>419246</v>
      </c>
      <c r="I10" s="14" t="n">
        <v>13262</v>
      </c>
      <c r="J10" s="14" t="n">
        <v>470672</v>
      </c>
      <c r="K10" s="14" t="n">
        <v>14131</v>
      </c>
      <c r="L10" s="14" t="n">
        <v>442156</v>
      </c>
      <c r="M10" s="14" t="n">
        <v>16133</v>
      </c>
      <c r="N10" s="15" t="s">
        <v>350</v>
      </c>
      <c r="O10" s="15" t="s">
        <v>350</v>
      </c>
      <c r="P10" s="15" t="s">
        <v>350</v>
      </c>
      <c r="Q10" s="15" t="s">
        <v>350</v>
      </c>
      <c r="R10" s="15" t="s">
        <v>350</v>
      </c>
      <c r="S10" s="15" t="s">
        <v>350</v>
      </c>
      <c r="T10" s="16" t="n">
        <v>3169386</v>
      </c>
      <c r="U10" s="16" t="n">
        <v>39945</v>
      </c>
      <c r="V10" s="16" t="n">
        <v>2402083</v>
      </c>
      <c r="W10" s="16" t="n">
        <v>27774</v>
      </c>
      <c r="X10" s="16" t="n">
        <v>2150385</v>
      </c>
      <c r="Y10" s="16" t="n">
        <v>14923</v>
      </c>
      <c r="Z10" s="17" t="n">
        <v>10490</v>
      </c>
      <c r="AA10" s="17" t="n">
        <v>136</v>
      </c>
      <c r="AB10" s="17" t="n">
        <v>16553</v>
      </c>
      <c r="AC10" s="17" t="n">
        <v>462</v>
      </c>
      <c r="AD10" s="17" t="n">
        <v>51271</v>
      </c>
      <c r="AE10" s="17" t="n">
        <v>92</v>
      </c>
    </row>
    <row r="11" customFormat="false" ht="15" hidden="false" customHeight="true" outlineLevel="0" collapsed="false">
      <c r="A11" s="31" t="s">
        <v>652</v>
      </c>
      <c r="B11" s="32" t="n">
        <f aca="false">SUM(B4:B10)</f>
        <v>38197</v>
      </c>
      <c r="C11" s="32" t="n">
        <f aca="false">SUM(C4:C10)</f>
        <v>0</v>
      </c>
      <c r="D11" s="32" t="n">
        <f aca="false">SUM(D4:D10)</f>
        <v>16940</v>
      </c>
      <c r="E11" s="32" t="n">
        <f aca="false">SUM(E4:E10)</f>
        <v>0</v>
      </c>
      <c r="F11" s="32" t="n">
        <f aca="false">SUM(F4:F10)</f>
        <v>590540</v>
      </c>
      <c r="G11" s="32" t="n">
        <f aca="false">SUM(G4:G10)</f>
        <v>11143</v>
      </c>
      <c r="H11" s="32" t="n">
        <f aca="false">SUM(H4:H10)</f>
        <v>429354</v>
      </c>
      <c r="I11" s="32" t="n">
        <f aca="false">SUM(I4:I10)</f>
        <v>13361</v>
      </c>
      <c r="J11" s="32" t="n">
        <f aca="false">SUM(J4:J10)</f>
        <v>485339</v>
      </c>
      <c r="K11" s="32" t="n">
        <f aca="false">SUM(K4:K10)</f>
        <v>14232</v>
      </c>
      <c r="L11" s="32" t="n">
        <f aca="false">SUM(L4:L10)</f>
        <v>457466</v>
      </c>
      <c r="M11" s="32" t="n">
        <f aca="false">SUM(M4:M10)</f>
        <v>16306</v>
      </c>
      <c r="N11" s="32" t="n">
        <f aca="false">SUM(N4:N10)</f>
        <v>248337</v>
      </c>
      <c r="O11" s="32" t="n">
        <f aca="false">SUM(O4:O10)</f>
        <v>14429</v>
      </c>
      <c r="P11" s="32" t="n">
        <f aca="false">SUM(P4:P10)</f>
        <v>346314</v>
      </c>
      <c r="Q11" s="32" t="n">
        <f aca="false">SUM(Q4:Q10)</f>
        <v>22539</v>
      </c>
      <c r="R11" s="32" t="n">
        <f aca="false">SUM(R4:R10)</f>
        <v>534644</v>
      </c>
      <c r="S11" s="32" t="n">
        <f aca="false">SUM(S4:S10)</f>
        <v>45161</v>
      </c>
      <c r="T11" s="32" t="n">
        <f aca="false">SUM(T4:T10)</f>
        <v>3863085</v>
      </c>
      <c r="U11" s="32" t="n">
        <f aca="false">SUM(U4:U10)</f>
        <v>135112</v>
      </c>
      <c r="V11" s="32" t="n">
        <f aca="false">SUM(V4:V10)</f>
        <v>3233560</v>
      </c>
      <c r="W11" s="32" t="n">
        <f aca="false">SUM(W4:W10)</f>
        <v>131423</v>
      </c>
      <c r="X11" s="32" t="n">
        <f aca="false">SUM(X4:X10)</f>
        <v>2850478</v>
      </c>
      <c r="Y11" s="32" t="n">
        <f aca="false">SUM(Y4:Y10)</f>
        <v>120119</v>
      </c>
      <c r="Z11" s="32" t="n">
        <f aca="false">SUM(Z4:Z10)</f>
        <v>10490</v>
      </c>
      <c r="AA11" s="32" t="n">
        <f aca="false">SUM(AA4:AA10)</f>
        <v>136</v>
      </c>
      <c r="AB11" s="32" t="n">
        <f aca="false">SUM(AB4:AB10)</f>
        <v>16553</v>
      </c>
      <c r="AC11" s="32" t="n">
        <f aca="false">SUM(AC4:AC10)</f>
        <v>462</v>
      </c>
      <c r="AD11" s="32" t="n">
        <f aca="false">SUM(AD4:AD10)</f>
        <v>51271</v>
      </c>
      <c r="AE11" s="32" t="n">
        <f aca="false">SUM(AE4:AE10)</f>
        <v>92</v>
      </c>
    </row>
    <row r="13" customFormat="false" ht="15" hidden="false" customHeight="true" outlineLevel="0" collapsed="false">
      <c r="A13" s="33" t="s">
        <v>653</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row>
    <row r="14" customFormat="false" ht="15" hidden="false" customHeight="true" outlineLevel="0" collapsed="false">
      <c r="A14" s="34" t="s">
        <v>654</v>
      </c>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row>
    <row r="15" customFormat="false" ht="21.75" hidden="false" customHeight="true" outlineLevel="0" collapsed="false">
      <c r="A15" s="34" t="s">
        <v>655</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row>
    <row r="16" customFormat="false" ht="15" hidden="false" customHeight="true" outlineLevel="0" collapsed="false">
      <c r="A16" s="34" t="s">
        <v>656</v>
      </c>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row>
    <row r="17" customFormat="false" ht="15" hidden="false" customHeight="true" outlineLevel="0" collapsed="false">
      <c r="A17" s="34" t="s">
        <v>657</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row>
    <row r="18" customFormat="false" ht="15" hidden="false" customHeight="true" outlineLevel="0" collapsed="false">
      <c r="A18" s="34" t="s">
        <v>658</v>
      </c>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row>
    <row r="19" customFormat="false" ht="15" hidden="false" customHeight="true" outlineLevel="0" collapsed="false">
      <c r="A19" s="34" t="s">
        <v>659</v>
      </c>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row>
    <row r="20" customFormat="false" ht="15" hidden="false" customHeight="true" outlineLevel="0" collapsed="false">
      <c r="A20" s="34" t="s">
        <v>660</v>
      </c>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row>
    <row r="21" customFormat="false" ht="15" hidden="false" customHeight="true" outlineLevel="0" collapsed="false">
      <c r="A21" s="34" t="s">
        <v>661</v>
      </c>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row>
    <row r="22" customFormat="false" ht="15" hidden="false" customHeight="true" outlineLevel="0" collapsed="false">
      <c r="A22" s="34" t="s">
        <v>662</v>
      </c>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row>
    <row r="23" customFormat="false" ht="15" hidden="false" customHeight="true" outlineLevel="0" collapsed="false">
      <c r="A23" s="34" t="s">
        <v>663</v>
      </c>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row>
  </sheetData>
  <mergeCells count="28">
    <mergeCell ref="A1:AE1"/>
    <mergeCell ref="A2:A3"/>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13:AE13"/>
    <mergeCell ref="A14:AE14"/>
    <mergeCell ref="A15:AE15"/>
    <mergeCell ref="A16:AE16"/>
    <mergeCell ref="A17:AE17"/>
    <mergeCell ref="A18:AE18"/>
    <mergeCell ref="A19:AE19"/>
    <mergeCell ref="A20:AE20"/>
    <mergeCell ref="A21:AE21"/>
    <mergeCell ref="A22:AE22"/>
    <mergeCell ref="A23:A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11" min="3" style="1" width="24"/>
    <col collapsed="false" customWidth="true" hidden="false" outlineLevel="0" max="17" min="12" style="1" width="16"/>
  </cols>
  <sheetData>
    <row r="1" customFormat="false" ht="15" hidden="false" customHeight="true" outlineLevel="0" collapsed="false">
      <c r="A1" s="8" t="s">
        <v>664</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4" customFormat="false" ht="34.5" hidden="false" customHeight="true" outlineLevel="0" collapsed="false">
      <c r="A4" s="11" t="s">
        <v>665</v>
      </c>
      <c r="B4" s="12" t="s">
        <v>666</v>
      </c>
      <c r="C4" s="13" t="s">
        <v>131</v>
      </c>
      <c r="D4" s="13" t="s">
        <v>667</v>
      </c>
      <c r="E4" s="13" t="s">
        <v>668</v>
      </c>
      <c r="F4" s="14" t="s">
        <v>131</v>
      </c>
      <c r="G4" s="14" t="s">
        <v>669</v>
      </c>
      <c r="H4" s="14" t="s">
        <v>670</v>
      </c>
      <c r="I4" s="15" t="s">
        <v>131</v>
      </c>
      <c r="J4" s="15" t="s">
        <v>671</v>
      </c>
      <c r="K4" s="15" t="s">
        <v>672</v>
      </c>
      <c r="L4" s="16" t="s">
        <v>131</v>
      </c>
      <c r="M4" s="16" t="s">
        <v>673</v>
      </c>
      <c r="N4" s="16" t="s">
        <v>674</v>
      </c>
      <c r="O4" s="17" t="s">
        <v>131</v>
      </c>
      <c r="P4" s="17" t="s">
        <v>675</v>
      </c>
      <c r="Q4" s="17" t="s">
        <v>676</v>
      </c>
    </row>
    <row r="5" customFormat="false" ht="34.5" hidden="false" customHeight="true" outlineLevel="0" collapsed="false">
      <c r="A5" s="11" t="s">
        <v>677</v>
      </c>
      <c r="B5" s="12" t="s">
        <v>666</v>
      </c>
      <c r="C5" s="13" t="s">
        <v>131</v>
      </c>
      <c r="D5" s="13" t="s">
        <v>678</v>
      </c>
      <c r="E5" s="13" t="s">
        <v>679</v>
      </c>
      <c r="F5" s="14" t="s">
        <v>131</v>
      </c>
      <c r="G5" s="14" t="s">
        <v>680</v>
      </c>
      <c r="H5" s="14" t="s">
        <v>681</v>
      </c>
      <c r="I5" s="15" t="s">
        <v>131</v>
      </c>
      <c r="J5" s="15" t="s">
        <v>682</v>
      </c>
      <c r="K5" s="15" t="s">
        <v>683</v>
      </c>
      <c r="L5" s="16" t="s">
        <v>131</v>
      </c>
      <c r="M5" s="16" t="s">
        <v>684</v>
      </c>
      <c r="N5" s="16" t="s">
        <v>685</v>
      </c>
      <c r="O5" s="17" t="s">
        <v>131</v>
      </c>
      <c r="P5" s="17" t="s">
        <v>686</v>
      </c>
      <c r="Q5" s="17" t="s">
        <v>687</v>
      </c>
      <c r="R5" s="18" t="s">
        <v>688</v>
      </c>
    </row>
    <row r="6" customFormat="false" ht="34.5" hidden="false" customHeight="true" outlineLevel="0" collapsed="false">
      <c r="A6" s="11" t="s">
        <v>689</v>
      </c>
      <c r="B6" s="12" t="s">
        <v>666</v>
      </c>
      <c r="C6" s="13" t="s">
        <v>131</v>
      </c>
      <c r="D6" s="13" t="s">
        <v>690</v>
      </c>
      <c r="E6" s="13" t="s">
        <v>691</v>
      </c>
      <c r="F6" s="14" t="s">
        <v>131</v>
      </c>
      <c r="G6" s="14" t="s">
        <v>692</v>
      </c>
      <c r="H6" s="14" t="s">
        <v>693</v>
      </c>
      <c r="I6" s="15" t="s">
        <v>131</v>
      </c>
      <c r="J6" s="15" t="s">
        <v>694</v>
      </c>
      <c r="K6" s="15" t="s">
        <v>695</v>
      </c>
      <c r="L6" s="16" t="s">
        <v>131</v>
      </c>
      <c r="M6" s="16" t="s">
        <v>696</v>
      </c>
      <c r="N6" s="16" t="s">
        <v>697</v>
      </c>
      <c r="O6" s="17" t="s">
        <v>131</v>
      </c>
      <c r="P6" s="17" t="s">
        <v>675</v>
      </c>
      <c r="Q6" s="17" t="s">
        <v>676</v>
      </c>
    </row>
    <row r="7" customFormat="false" ht="34.5" hidden="false" customHeight="true" outlineLevel="0" collapsed="false">
      <c r="A7" s="11" t="s">
        <v>698</v>
      </c>
      <c r="B7" s="12" t="s">
        <v>72</v>
      </c>
      <c r="C7" s="13" t="s">
        <v>131</v>
      </c>
      <c r="D7" s="13" t="s">
        <v>699</v>
      </c>
      <c r="E7" s="13" t="s">
        <v>699</v>
      </c>
      <c r="F7" s="14" t="s">
        <v>131</v>
      </c>
      <c r="G7" s="14" t="n">
        <v>0</v>
      </c>
      <c r="H7" s="14" t="n">
        <v>0</v>
      </c>
      <c r="I7" s="15" t="s">
        <v>131</v>
      </c>
      <c r="J7" s="15" t="s">
        <v>96</v>
      </c>
      <c r="K7" s="15" t="s">
        <v>96</v>
      </c>
      <c r="L7" s="16" t="s">
        <v>131</v>
      </c>
      <c r="M7" s="16" t="s">
        <v>700</v>
      </c>
      <c r="N7" s="16" t="s">
        <v>701</v>
      </c>
      <c r="O7" s="17" t="s">
        <v>131</v>
      </c>
      <c r="P7" s="17" t="s">
        <v>702</v>
      </c>
      <c r="Q7" s="17" t="s">
        <v>703</v>
      </c>
    </row>
    <row r="8" customFormat="false" ht="34.5" hidden="false" customHeight="true" outlineLevel="0" collapsed="false">
      <c r="A8" s="11" t="s">
        <v>704</v>
      </c>
      <c r="B8" s="12" t="s">
        <v>72</v>
      </c>
      <c r="C8" s="13" t="s">
        <v>131</v>
      </c>
      <c r="D8" s="13" t="s">
        <v>93</v>
      </c>
      <c r="E8" s="13" t="s">
        <v>93</v>
      </c>
      <c r="F8" s="14" t="s">
        <v>131</v>
      </c>
      <c r="G8" s="14" t="n">
        <v>0</v>
      </c>
      <c r="H8" s="14" t="n">
        <v>0</v>
      </c>
      <c r="I8" s="15" t="s">
        <v>131</v>
      </c>
      <c r="J8" s="15" t="s">
        <v>96</v>
      </c>
      <c r="K8" s="15" t="s">
        <v>96</v>
      </c>
      <c r="L8" s="16" t="s">
        <v>131</v>
      </c>
      <c r="M8" s="16" t="s">
        <v>96</v>
      </c>
      <c r="N8" s="16" t="s">
        <v>350</v>
      </c>
      <c r="O8" s="17" t="s">
        <v>131</v>
      </c>
      <c r="P8" s="17" t="s">
        <v>96</v>
      </c>
      <c r="Q8" s="17" t="s">
        <v>705</v>
      </c>
    </row>
    <row r="9" customFormat="false" ht="42.75" hidden="false" customHeight="true" outlineLevel="0" collapsed="false">
      <c r="A9" s="11" t="s">
        <v>706</v>
      </c>
      <c r="B9" s="12" t="s">
        <v>72</v>
      </c>
      <c r="C9" s="13" t="s">
        <v>131</v>
      </c>
      <c r="D9" s="13" t="s">
        <v>93</v>
      </c>
      <c r="E9" s="13" t="s">
        <v>93</v>
      </c>
      <c r="F9" s="14" t="s">
        <v>131</v>
      </c>
      <c r="G9" s="14" t="n">
        <v>0</v>
      </c>
      <c r="H9" s="14" t="n">
        <v>0</v>
      </c>
      <c r="I9" s="15" t="s">
        <v>131</v>
      </c>
      <c r="J9" s="15" t="s">
        <v>96</v>
      </c>
      <c r="K9" s="15" t="s">
        <v>96</v>
      </c>
      <c r="L9" s="16" t="s">
        <v>131</v>
      </c>
      <c r="M9" s="16" t="s">
        <v>96</v>
      </c>
      <c r="N9" s="16" t="s">
        <v>350</v>
      </c>
      <c r="O9" s="17" t="s">
        <v>131</v>
      </c>
      <c r="P9" s="17" t="s">
        <v>96</v>
      </c>
      <c r="Q9" s="17" t="s">
        <v>705</v>
      </c>
      <c r="R9" s="18" t="s">
        <v>707</v>
      </c>
    </row>
    <row r="10" customFormat="false" ht="34.5" hidden="false" customHeight="true" outlineLevel="0" collapsed="false">
      <c r="A10" s="11" t="s">
        <v>708</v>
      </c>
      <c r="B10" s="12" t="s">
        <v>666</v>
      </c>
      <c r="C10" s="13" t="s">
        <v>131</v>
      </c>
      <c r="D10" s="13" t="s">
        <v>709</v>
      </c>
      <c r="E10" s="13" t="s">
        <v>710</v>
      </c>
      <c r="F10" s="14" t="s">
        <v>131</v>
      </c>
      <c r="G10" s="14" t="s">
        <v>711</v>
      </c>
      <c r="H10" s="14" t="s">
        <v>712</v>
      </c>
      <c r="I10" s="15" t="s">
        <v>131</v>
      </c>
      <c r="J10" s="15" t="s">
        <v>713</v>
      </c>
      <c r="K10" s="15" t="s">
        <v>714</v>
      </c>
      <c r="L10" s="16" t="s">
        <v>131</v>
      </c>
      <c r="M10" s="16" t="s">
        <v>715</v>
      </c>
      <c r="N10" s="16" t="s">
        <v>716</v>
      </c>
      <c r="O10" s="17" t="s">
        <v>131</v>
      </c>
      <c r="P10" s="17" t="s">
        <v>717</v>
      </c>
      <c r="Q10" s="17" t="s">
        <v>717</v>
      </c>
    </row>
    <row r="11" customFormat="false" ht="34.5" hidden="false" customHeight="true" outlineLevel="0" collapsed="false">
      <c r="A11" s="11" t="s">
        <v>718</v>
      </c>
      <c r="B11" s="12" t="s">
        <v>666</v>
      </c>
      <c r="C11" s="13" t="s">
        <v>131</v>
      </c>
      <c r="D11" s="13" t="s">
        <v>185</v>
      </c>
      <c r="E11" s="13" t="n">
        <v>0</v>
      </c>
      <c r="F11" s="14" t="s">
        <v>131</v>
      </c>
      <c r="G11" s="14" t="n">
        <v>0</v>
      </c>
      <c r="H11" s="14" t="n">
        <v>0</v>
      </c>
      <c r="I11" s="15" t="s">
        <v>131</v>
      </c>
      <c r="J11" s="15" t="n">
        <v>0</v>
      </c>
      <c r="K11" s="15" t="n">
        <v>0</v>
      </c>
      <c r="L11" s="16" t="s">
        <v>131</v>
      </c>
      <c r="M11" s="16" t="s">
        <v>719</v>
      </c>
      <c r="N11" s="16" t="s">
        <v>720</v>
      </c>
      <c r="O11" s="17" t="s">
        <v>131</v>
      </c>
      <c r="P11" s="17" t="s">
        <v>96</v>
      </c>
      <c r="Q11" s="17" t="s">
        <v>705</v>
      </c>
    </row>
    <row r="12" customFormat="false" ht="34.5" hidden="false" customHeight="true" outlineLevel="0" collapsed="false">
      <c r="A12" s="11" t="s">
        <v>721</v>
      </c>
      <c r="B12" s="12" t="s">
        <v>666</v>
      </c>
      <c r="C12" s="13" t="s">
        <v>131</v>
      </c>
      <c r="D12" s="13" t="s">
        <v>709</v>
      </c>
      <c r="E12" s="13" t="s">
        <v>710</v>
      </c>
      <c r="F12" s="14" t="s">
        <v>131</v>
      </c>
      <c r="G12" s="14" t="s">
        <v>711</v>
      </c>
      <c r="H12" s="14" t="s">
        <v>712</v>
      </c>
      <c r="I12" s="15" t="s">
        <v>131</v>
      </c>
      <c r="J12" s="15" t="s">
        <v>713</v>
      </c>
      <c r="K12" s="15" t="s">
        <v>714</v>
      </c>
      <c r="L12" s="16" t="s">
        <v>131</v>
      </c>
      <c r="M12" s="16" t="s">
        <v>722</v>
      </c>
      <c r="N12" s="16" t="s">
        <v>723</v>
      </c>
      <c r="O12" s="17" t="s">
        <v>131</v>
      </c>
      <c r="P12" s="17" t="s">
        <v>717</v>
      </c>
      <c r="Q12" s="17" t="s">
        <v>717</v>
      </c>
    </row>
    <row r="13" customFormat="false" ht="34.5" hidden="false" customHeight="true" outlineLevel="0" collapsed="false">
      <c r="A13" s="11" t="s">
        <v>724</v>
      </c>
      <c r="B13" s="12" t="s">
        <v>72</v>
      </c>
      <c r="C13" s="13" t="s">
        <v>131</v>
      </c>
      <c r="D13" s="13" t="s">
        <v>93</v>
      </c>
      <c r="E13" s="13" t="s">
        <v>93</v>
      </c>
      <c r="F13" s="14" t="s">
        <v>131</v>
      </c>
      <c r="G13" s="14" t="s">
        <v>725</v>
      </c>
      <c r="H13" s="14" t="s">
        <v>725</v>
      </c>
      <c r="I13" s="15" t="s">
        <v>131</v>
      </c>
      <c r="J13" s="15" t="s">
        <v>96</v>
      </c>
      <c r="K13" s="15" t="s">
        <v>96</v>
      </c>
      <c r="L13" s="16" t="s">
        <v>131</v>
      </c>
      <c r="M13" s="16" t="s">
        <v>96</v>
      </c>
      <c r="N13" s="16" t="s">
        <v>350</v>
      </c>
      <c r="O13" s="17" t="s">
        <v>131</v>
      </c>
      <c r="P13" s="17" t="s">
        <v>96</v>
      </c>
      <c r="Q13" s="17" t="s">
        <v>705</v>
      </c>
    </row>
    <row r="14" customFormat="false" ht="34.5" hidden="false" customHeight="true" outlineLevel="0" collapsed="false">
      <c r="A14" s="11" t="s">
        <v>726</v>
      </c>
      <c r="B14" s="12" t="s">
        <v>666</v>
      </c>
      <c r="C14" s="13" t="s">
        <v>131</v>
      </c>
      <c r="D14" s="13" t="s">
        <v>727</v>
      </c>
      <c r="E14" s="13" t="s">
        <v>728</v>
      </c>
      <c r="F14" s="14" t="s">
        <v>131</v>
      </c>
      <c r="G14" s="14" t="s">
        <v>729</v>
      </c>
      <c r="H14" s="14" t="s">
        <v>730</v>
      </c>
      <c r="I14" s="15" t="s">
        <v>131</v>
      </c>
      <c r="J14" s="15" t="s">
        <v>728</v>
      </c>
      <c r="K14" s="15" t="s">
        <v>731</v>
      </c>
      <c r="L14" s="16" t="s">
        <v>131</v>
      </c>
      <c r="M14" s="16" t="s">
        <v>732</v>
      </c>
      <c r="N14" s="16" t="s">
        <v>733</v>
      </c>
      <c r="O14" s="17" t="s">
        <v>131</v>
      </c>
      <c r="P14" s="17" t="s">
        <v>734</v>
      </c>
      <c r="Q14" s="17" t="s">
        <v>734</v>
      </c>
      <c r="R14" s="18" t="s">
        <v>735</v>
      </c>
    </row>
    <row r="15" customFormat="false" ht="34.5" hidden="false" customHeight="true" outlineLevel="0" collapsed="false">
      <c r="A15" s="11" t="s">
        <v>736</v>
      </c>
      <c r="B15" s="12" t="s">
        <v>666</v>
      </c>
      <c r="C15" s="13" t="s">
        <v>131</v>
      </c>
      <c r="D15" s="13" t="s">
        <v>737</v>
      </c>
      <c r="E15" s="13" t="s">
        <v>737</v>
      </c>
      <c r="F15" s="14" t="s">
        <v>131</v>
      </c>
      <c r="G15" s="14" t="s">
        <v>737</v>
      </c>
      <c r="H15" s="14" t="s">
        <v>737</v>
      </c>
      <c r="I15" s="15" t="s">
        <v>131</v>
      </c>
      <c r="J15" s="15" t="s">
        <v>738</v>
      </c>
      <c r="K15" s="15" t="s">
        <v>738</v>
      </c>
      <c r="L15" s="16" t="s">
        <v>131</v>
      </c>
      <c r="M15" s="16" t="s">
        <v>739</v>
      </c>
      <c r="N15" s="16" t="s">
        <v>740</v>
      </c>
      <c r="O15" s="17" t="s">
        <v>131</v>
      </c>
      <c r="P15" s="17" t="s">
        <v>741</v>
      </c>
      <c r="Q15" s="17" t="s">
        <v>741</v>
      </c>
      <c r="R15" s="18" t="s">
        <v>742</v>
      </c>
    </row>
    <row r="16" customFormat="false" ht="15" hidden="false" customHeight="true" outlineLevel="0" collapsed="false">
      <c r="A16" s="11" t="s">
        <v>743</v>
      </c>
      <c r="B16" s="12" t="s">
        <v>75</v>
      </c>
      <c r="C16" s="13" t="s">
        <v>744</v>
      </c>
      <c r="D16" s="13" t="s">
        <v>745</v>
      </c>
      <c r="E16" s="13" t="s">
        <v>746</v>
      </c>
      <c r="F16" s="14" t="s">
        <v>747</v>
      </c>
      <c r="G16" s="14" t="s">
        <v>748</v>
      </c>
      <c r="H16" s="14" t="s">
        <v>749</v>
      </c>
      <c r="I16" s="15" t="s">
        <v>750</v>
      </c>
      <c r="J16" s="15" t="s">
        <v>751</v>
      </c>
      <c r="K16" s="15" t="s">
        <v>752</v>
      </c>
      <c r="L16" s="16" t="s">
        <v>753</v>
      </c>
      <c r="M16" s="16" t="s">
        <v>754</v>
      </c>
      <c r="N16" s="16" t="s">
        <v>755</v>
      </c>
      <c r="O16" s="17" t="s">
        <v>756</v>
      </c>
      <c r="P16" s="17" t="s">
        <v>757</v>
      </c>
      <c r="Q16" s="17" t="s">
        <v>758</v>
      </c>
      <c r="R16" s="18" t="s">
        <v>759</v>
      </c>
    </row>
    <row r="17" customFormat="false" ht="15" hidden="false" customHeight="true" outlineLevel="0" collapsed="false">
      <c r="A17" s="11" t="s">
        <v>760</v>
      </c>
      <c r="B17" s="12" t="s">
        <v>75</v>
      </c>
      <c r="C17" s="13" t="s">
        <v>761</v>
      </c>
      <c r="D17" s="13" t="s">
        <v>762</v>
      </c>
      <c r="E17" s="13" t="s">
        <v>763</v>
      </c>
      <c r="F17" s="14" t="s">
        <v>764</v>
      </c>
      <c r="G17" s="14" t="s">
        <v>765</v>
      </c>
      <c r="H17" s="14" t="s">
        <v>766</v>
      </c>
      <c r="I17" s="15" t="s">
        <v>767</v>
      </c>
      <c r="J17" s="15" t="s">
        <v>768</v>
      </c>
      <c r="K17" s="15" t="s">
        <v>769</v>
      </c>
      <c r="L17" s="16" t="s">
        <v>770</v>
      </c>
      <c r="M17" s="16" t="s">
        <v>771</v>
      </c>
      <c r="N17" s="16" t="s">
        <v>772</v>
      </c>
      <c r="O17" s="17" t="s">
        <v>773</v>
      </c>
      <c r="P17" s="17" t="s">
        <v>774</v>
      </c>
      <c r="Q17" s="17" t="s">
        <v>775</v>
      </c>
    </row>
    <row r="18" customFormat="false" ht="63.75" hidden="false" customHeight="true" outlineLevel="0" collapsed="false">
      <c r="A18" s="11" t="s">
        <v>776</v>
      </c>
      <c r="B18" s="12" t="s">
        <v>75</v>
      </c>
      <c r="C18" s="13" t="s">
        <v>777</v>
      </c>
      <c r="D18" s="13" t="s">
        <v>762</v>
      </c>
      <c r="E18" s="13" t="s">
        <v>778</v>
      </c>
      <c r="F18" s="14" t="s">
        <v>747</v>
      </c>
      <c r="G18" s="14" t="s">
        <v>779</v>
      </c>
      <c r="H18" s="14" t="s">
        <v>780</v>
      </c>
      <c r="I18" s="15" t="s">
        <v>781</v>
      </c>
      <c r="J18" s="15" t="s">
        <v>782</v>
      </c>
      <c r="K18" s="15" t="s">
        <v>783</v>
      </c>
      <c r="L18" s="16" t="s">
        <v>784</v>
      </c>
      <c r="M18" s="16" t="s">
        <v>785</v>
      </c>
      <c r="N18" s="16" t="s">
        <v>786</v>
      </c>
      <c r="O18" s="17" t="s">
        <v>787</v>
      </c>
      <c r="P18" s="17" t="s">
        <v>788</v>
      </c>
      <c r="Q18" s="17" t="s">
        <v>789</v>
      </c>
      <c r="R18" s="18" t="s">
        <v>790</v>
      </c>
    </row>
    <row r="19" customFormat="false" ht="23.25" hidden="false" customHeight="true" outlineLevel="0" collapsed="false">
      <c r="A19" s="11" t="s">
        <v>791</v>
      </c>
      <c r="B19" s="12" t="s">
        <v>75</v>
      </c>
      <c r="C19" s="13" t="s">
        <v>93</v>
      </c>
      <c r="D19" s="13" t="s">
        <v>93</v>
      </c>
      <c r="E19" s="13" t="s">
        <v>93</v>
      </c>
      <c r="F19" s="14" t="s">
        <v>725</v>
      </c>
      <c r="G19" s="14" t="s">
        <v>725</v>
      </c>
      <c r="H19" s="14" t="s">
        <v>725</v>
      </c>
      <c r="I19" s="15" t="s">
        <v>96</v>
      </c>
      <c r="J19" s="15" t="s">
        <v>96</v>
      </c>
      <c r="K19" s="15" t="s">
        <v>96</v>
      </c>
      <c r="L19" s="16" t="s">
        <v>96</v>
      </c>
      <c r="M19" s="16" t="s">
        <v>96</v>
      </c>
      <c r="N19" s="16" t="s">
        <v>96</v>
      </c>
      <c r="O19" s="17" t="s">
        <v>792</v>
      </c>
      <c r="P19" s="17" t="s">
        <v>792</v>
      </c>
      <c r="Q19" s="17" t="s">
        <v>792</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11" min="3" style="1" width="14"/>
    <col collapsed="false" customWidth="true" hidden="false" outlineLevel="0" max="17" min="12" style="1" width="16"/>
  </cols>
  <sheetData>
    <row r="1" customFormat="false" ht="15" hidden="false" customHeight="true" outlineLevel="0" collapsed="false">
      <c r="A1" s="8" t="s">
        <v>793</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23.25" hidden="false" customHeight="true" outlineLevel="0" collapsed="false">
      <c r="L3" s="16"/>
      <c r="M3" s="16"/>
      <c r="N3" s="16"/>
      <c r="O3" s="17"/>
      <c r="P3" s="17"/>
      <c r="Q3" s="17"/>
      <c r="R3" s="18"/>
    </row>
    <row r="4" customFormat="false" ht="53.25" hidden="false" customHeight="true" outlineLevel="0" collapsed="false">
      <c r="A4" s="11" t="s">
        <v>794</v>
      </c>
      <c r="B4" s="12" t="s">
        <v>75</v>
      </c>
      <c r="C4" s="13" t="s">
        <v>795</v>
      </c>
      <c r="D4" s="13" t="s">
        <v>796</v>
      </c>
      <c r="E4" s="13" t="s">
        <v>797</v>
      </c>
      <c r="F4" s="14" t="s">
        <v>351</v>
      </c>
      <c r="G4" s="14" t="s">
        <v>351</v>
      </c>
      <c r="H4" s="14" t="s">
        <v>351</v>
      </c>
      <c r="I4" s="15" t="s">
        <v>351</v>
      </c>
      <c r="J4" s="15" t="s">
        <v>351</v>
      </c>
      <c r="K4" s="15" t="s">
        <v>351</v>
      </c>
      <c r="L4" s="16" t="s">
        <v>400</v>
      </c>
      <c r="M4" s="16" t="s">
        <v>798</v>
      </c>
      <c r="N4" s="16" t="s">
        <v>351</v>
      </c>
      <c r="O4" s="17" t="n">
        <v>0</v>
      </c>
      <c r="P4" s="17" t="n">
        <v>0</v>
      </c>
      <c r="Q4" s="17" t="n">
        <v>0</v>
      </c>
      <c r="R4" s="18" t="s">
        <v>799</v>
      </c>
    </row>
    <row r="5" customFormat="false" ht="23.25" hidden="false" customHeight="true" outlineLevel="0" collapsed="false">
      <c r="A5" s="11" t="s">
        <v>800</v>
      </c>
      <c r="B5" s="12" t="s">
        <v>72</v>
      </c>
      <c r="C5" s="13" t="n">
        <v>86</v>
      </c>
      <c r="D5" s="13" t="n">
        <v>92</v>
      </c>
      <c r="E5" s="13" t="n">
        <v>100</v>
      </c>
      <c r="F5" s="14" t="s">
        <v>350</v>
      </c>
      <c r="G5" s="14" t="s">
        <v>350</v>
      </c>
      <c r="H5" s="14" t="s">
        <v>350</v>
      </c>
      <c r="I5" s="15" t="s">
        <v>350</v>
      </c>
      <c r="J5" s="15" t="s">
        <v>350</v>
      </c>
      <c r="K5" s="15" t="s">
        <v>350</v>
      </c>
      <c r="L5" s="16" t="s">
        <v>400</v>
      </c>
      <c r="M5" s="16" t="s">
        <v>400</v>
      </c>
      <c r="N5" s="16" t="s">
        <v>350</v>
      </c>
      <c r="O5" s="17" t="n">
        <v>0</v>
      </c>
      <c r="P5" s="17" t="n">
        <v>0</v>
      </c>
      <c r="Q5" s="17" t="n">
        <v>0</v>
      </c>
      <c r="R5" s="18" t="s">
        <v>801</v>
      </c>
    </row>
    <row r="6" customFormat="false" ht="23.25" hidden="false" customHeight="true" outlineLevel="0" collapsed="false">
      <c r="A6" s="11" t="s">
        <v>802</v>
      </c>
      <c r="B6" s="12" t="s">
        <v>75</v>
      </c>
      <c r="C6" s="13" t="s">
        <v>803</v>
      </c>
      <c r="D6" s="13" t="s">
        <v>804</v>
      </c>
      <c r="E6" s="13" t="s">
        <v>805</v>
      </c>
      <c r="F6" s="14" t="s">
        <v>350</v>
      </c>
      <c r="G6" s="14" t="s">
        <v>350</v>
      </c>
      <c r="H6" s="14" t="s">
        <v>350</v>
      </c>
      <c r="I6" s="15" t="s">
        <v>350</v>
      </c>
      <c r="J6" s="15" t="s">
        <v>350</v>
      </c>
      <c r="K6" s="15" t="s">
        <v>350</v>
      </c>
      <c r="L6" s="16" t="s">
        <v>400</v>
      </c>
      <c r="M6" s="16" t="s">
        <v>400</v>
      </c>
      <c r="N6" s="16" t="s">
        <v>350</v>
      </c>
      <c r="O6" s="17" t="n">
        <v>0</v>
      </c>
      <c r="P6" s="17" t="n">
        <v>0</v>
      </c>
      <c r="Q6" s="17" t="n">
        <v>0</v>
      </c>
    </row>
    <row r="7" customFormat="false" ht="32.25" hidden="false" customHeight="true" outlineLevel="0" collapsed="false">
      <c r="A7" s="11" t="s">
        <v>806</v>
      </c>
      <c r="B7" s="12" t="s">
        <v>75</v>
      </c>
      <c r="C7" s="13" t="s">
        <v>93</v>
      </c>
      <c r="D7" s="13" t="s">
        <v>93</v>
      </c>
      <c r="E7" s="13" t="s">
        <v>93</v>
      </c>
      <c r="F7" s="14" t="s">
        <v>351</v>
      </c>
      <c r="G7" s="14" t="s">
        <v>351</v>
      </c>
      <c r="H7" s="14" t="s">
        <v>351</v>
      </c>
      <c r="I7" s="15" t="s">
        <v>351</v>
      </c>
      <c r="J7" s="15" t="s">
        <v>351</v>
      </c>
      <c r="K7" s="15" t="s">
        <v>351</v>
      </c>
      <c r="L7" s="16" t="s">
        <v>400</v>
      </c>
      <c r="M7" s="16" t="s">
        <v>400</v>
      </c>
      <c r="N7" s="16" t="s">
        <v>351</v>
      </c>
      <c r="O7" s="17" t="n">
        <v>0</v>
      </c>
      <c r="P7" s="17" t="n">
        <v>0</v>
      </c>
      <c r="Q7" s="17" t="n">
        <v>0</v>
      </c>
    </row>
    <row r="8" customFormat="false" ht="23.25" hidden="false" customHeight="true" outlineLevel="0" collapsed="false">
      <c r="A8" s="11" t="s">
        <v>807</v>
      </c>
      <c r="B8" s="12" t="s">
        <v>72</v>
      </c>
      <c r="C8" s="13" t="s">
        <v>93</v>
      </c>
      <c r="D8" s="13" t="s">
        <v>93</v>
      </c>
      <c r="E8" s="13" t="s">
        <v>93</v>
      </c>
      <c r="F8" s="14" t="s">
        <v>350</v>
      </c>
      <c r="G8" s="14" t="s">
        <v>350</v>
      </c>
      <c r="H8" s="14" t="s">
        <v>350</v>
      </c>
      <c r="I8" s="15" t="s">
        <v>350</v>
      </c>
      <c r="J8" s="15" t="s">
        <v>350</v>
      </c>
      <c r="K8" s="15" t="s">
        <v>350</v>
      </c>
      <c r="L8" s="16" t="s">
        <v>400</v>
      </c>
      <c r="M8" s="16" t="s">
        <v>400</v>
      </c>
      <c r="N8" s="16" t="s">
        <v>350</v>
      </c>
      <c r="O8" s="17" t="n">
        <v>0</v>
      </c>
      <c r="P8" s="17" t="n">
        <v>0</v>
      </c>
      <c r="Q8" s="17" t="n">
        <v>0</v>
      </c>
      <c r="R8" s="18" t="s">
        <v>808</v>
      </c>
    </row>
    <row r="9" customFormat="false" ht="34.5" hidden="false" customHeight="true" outlineLevel="0" collapsed="false">
      <c r="A9" s="11" t="s">
        <v>809</v>
      </c>
      <c r="B9" s="12" t="s">
        <v>75</v>
      </c>
      <c r="C9" s="13" t="s">
        <v>93</v>
      </c>
      <c r="D9" s="13" t="s">
        <v>93</v>
      </c>
      <c r="E9" s="13" t="s">
        <v>93</v>
      </c>
      <c r="F9" s="14" t="s">
        <v>350</v>
      </c>
      <c r="G9" s="14" t="s">
        <v>350</v>
      </c>
      <c r="H9" s="14" t="s">
        <v>350</v>
      </c>
      <c r="I9" s="15" t="s">
        <v>350</v>
      </c>
      <c r="J9" s="15" t="s">
        <v>350</v>
      </c>
      <c r="K9" s="15" t="s">
        <v>350</v>
      </c>
      <c r="L9" s="16" t="s">
        <v>400</v>
      </c>
      <c r="M9" s="16" t="s">
        <v>400</v>
      </c>
      <c r="N9" s="16" t="s">
        <v>350</v>
      </c>
      <c r="O9" s="17" t="n">
        <v>0</v>
      </c>
      <c r="P9" s="17" t="n">
        <v>0</v>
      </c>
      <c r="Q9" s="17" t="n">
        <v>0</v>
      </c>
    </row>
    <row r="10" customFormat="false" ht="53.25" hidden="false" customHeight="true" outlineLevel="0" collapsed="false">
      <c r="A10" s="11" t="s">
        <v>810</v>
      </c>
      <c r="B10" s="12" t="s">
        <v>75</v>
      </c>
      <c r="C10" s="13" t="s">
        <v>811</v>
      </c>
      <c r="D10" s="13" t="s">
        <v>812</v>
      </c>
      <c r="E10" s="13" t="s">
        <v>813</v>
      </c>
      <c r="F10" s="14" t="s">
        <v>814</v>
      </c>
      <c r="G10" s="14" t="s">
        <v>815</v>
      </c>
      <c r="H10" s="14" t="s">
        <v>816</v>
      </c>
      <c r="I10" s="15" t="s">
        <v>817</v>
      </c>
      <c r="J10" s="15" t="s">
        <v>818</v>
      </c>
      <c r="K10" s="15" t="s">
        <v>819</v>
      </c>
      <c r="L10" s="16" t="s">
        <v>820</v>
      </c>
      <c r="M10" s="16" t="s">
        <v>821</v>
      </c>
      <c r="N10" s="16" t="s">
        <v>822</v>
      </c>
      <c r="O10" s="17" t="n">
        <v>0</v>
      </c>
      <c r="P10" s="17" t="s">
        <v>823</v>
      </c>
      <c r="Q10" s="17" t="s">
        <v>824</v>
      </c>
      <c r="R10" s="18" t="s">
        <v>825</v>
      </c>
    </row>
    <row r="11" customFormat="false" ht="53.25" hidden="false" customHeight="true" outlineLevel="0" collapsed="false">
      <c r="A11" s="11" t="s">
        <v>826</v>
      </c>
      <c r="B11" s="12" t="s">
        <v>75</v>
      </c>
      <c r="C11" s="13" t="s">
        <v>822</v>
      </c>
      <c r="D11" s="13" t="s">
        <v>827</v>
      </c>
      <c r="E11" s="13" t="s">
        <v>828</v>
      </c>
      <c r="F11" s="14" t="s">
        <v>829</v>
      </c>
      <c r="G11" s="14" t="s">
        <v>830</v>
      </c>
      <c r="H11" s="14" t="s">
        <v>831</v>
      </c>
      <c r="I11" s="15" t="s">
        <v>832</v>
      </c>
      <c r="J11" s="15" t="s">
        <v>267</v>
      </c>
      <c r="K11" s="15" t="s">
        <v>833</v>
      </c>
      <c r="L11" s="16" t="s">
        <v>834</v>
      </c>
      <c r="M11" s="16" t="s">
        <v>834</v>
      </c>
      <c r="N11" s="16" t="s">
        <v>214</v>
      </c>
      <c r="O11" s="17" t="n">
        <v>0</v>
      </c>
      <c r="P11" s="17" t="s">
        <v>835</v>
      </c>
      <c r="Q11" s="17" t="s">
        <v>836</v>
      </c>
      <c r="R11" s="18" t="s">
        <v>837</v>
      </c>
    </row>
    <row r="12" customFormat="false" ht="23.25" hidden="false" customHeight="true" outlineLevel="0" collapsed="false">
      <c r="A12" s="11" t="s">
        <v>838</v>
      </c>
      <c r="B12" s="12" t="s">
        <v>75</v>
      </c>
      <c r="C12" s="13" t="s">
        <v>217</v>
      </c>
      <c r="D12" s="13" t="s">
        <v>834</v>
      </c>
      <c r="E12" s="13" t="s">
        <v>217</v>
      </c>
      <c r="F12" s="14" t="s">
        <v>839</v>
      </c>
      <c r="G12" s="14" t="s">
        <v>840</v>
      </c>
      <c r="H12" s="14" t="s">
        <v>841</v>
      </c>
      <c r="I12" s="15" t="s">
        <v>834</v>
      </c>
      <c r="J12" s="15" t="s">
        <v>834</v>
      </c>
      <c r="K12" s="15" t="s">
        <v>842</v>
      </c>
      <c r="L12" s="16" t="s">
        <v>834</v>
      </c>
      <c r="M12" s="16" t="s">
        <v>842</v>
      </c>
      <c r="N12" s="16" t="s">
        <v>843</v>
      </c>
      <c r="O12" s="17" t="n">
        <v>0</v>
      </c>
      <c r="P12" s="17" t="n">
        <v>0</v>
      </c>
      <c r="Q12" s="17" t="n">
        <v>0</v>
      </c>
      <c r="R12" s="18" t="s">
        <v>844</v>
      </c>
    </row>
    <row r="13" customFormat="false" ht="53.25" hidden="false" customHeight="true" outlineLevel="0" collapsed="false">
      <c r="A13" s="11" t="s">
        <v>845</v>
      </c>
      <c r="B13" s="12" t="s">
        <v>75</v>
      </c>
      <c r="C13" s="13" t="s">
        <v>846</v>
      </c>
      <c r="D13" s="13" t="s">
        <v>847</v>
      </c>
      <c r="E13" s="13" t="s">
        <v>848</v>
      </c>
      <c r="F13" s="14" t="s">
        <v>849</v>
      </c>
      <c r="G13" s="14" t="s">
        <v>850</v>
      </c>
      <c r="H13" s="14" t="s">
        <v>851</v>
      </c>
      <c r="I13" s="15" t="s">
        <v>852</v>
      </c>
      <c r="J13" s="15" t="s">
        <v>853</v>
      </c>
      <c r="K13" s="15" t="s">
        <v>854</v>
      </c>
      <c r="L13" s="16" t="s">
        <v>821</v>
      </c>
      <c r="M13" s="16" t="s">
        <v>267</v>
      </c>
      <c r="N13" s="16" t="s">
        <v>267</v>
      </c>
      <c r="O13" s="17" t="s">
        <v>842</v>
      </c>
      <c r="P13" s="17" t="s">
        <v>855</v>
      </c>
      <c r="Q13" s="17" t="s">
        <v>856</v>
      </c>
      <c r="R13" s="18" t="s">
        <v>857</v>
      </c>
    </row>
    <row r="14" customFormat="false" ht="23.25" hidden="false" customHeight="true" outlineLevel="0" collapsed="false">
      <c r="A14" s="11" t="s">
        <v>858</v>
      </c>
      <c r="B14" s="12" t="s">
        <v>173</v>
      </c>
      <c r="C14" s="13" t="s">
        <v>174</v>
      </c>
      <c r="D14" s="13" t="s">
        <v>174</v>
      </c>
      <c r="E14" s="13" t="s">
        <v>174</v>
      </c>
      <c r="F14" s="14" t="s">
        <v>175</v>
      </c>
      <c r="G14" s="14" t="s">
        <v>175</v>
      </c>
      <c r="H14" s="14" t="s">
        <v>176</v>
      </c>
      <c r="I14" s="15" t="s">
        <v>174</v>
      </c>
      <c r="J14" s="15" t="s">
        <v>174</v>
      </c>
      <c r="K14" s="15" t="s">
        <v>174</v>
      </c>
      <c r="L14" s="16" t="s">
        <v>174</v>
      </c>
      <c r="M14" s="16" t="s">
        <v>174</v>
      </c>
      <c r="N14" s="16" t="s">
        <v>174</v>
      </c>
      <c r="O14" s="17" t="s">
        <v>174</v>
      </c>
      <c r="P14" s="17" t="s">
        <v>222</v>
      </c>
      <c r="Q14" s="17" t="s">
        <v>223</v>
      </c>
      <c r="R14" s="18" t="s">
        <v>859</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11" min="3" style="1" width="14"/>
    <col collapsed="false" customWidth="true" hidden="false" outlineLevel="0" max="17" min="12" style="1" width="16"/>
  </cols>
  <sheetData>
    <row r="1" customFormat="false" ht="15" hidden="false" customHeight="true" outlineLevel="0" collapsed="false">
      <c r="A1" s="8" t="s">
        <v>860</v>
      </c>
      <c r="B1" s="8"/>
      <c r="C1" s="8"/>
      <c r="D1" s="8"/>
      <c r="E1" s="8"/>
      <c r="F1" s="8"/>
      <c r="G1" s="8"/>
      <c r="H1" s="8"/>
      <c r="I1" s="8"/>
      <c r="J1" s="8"/>
      <c r="K1" s="8"/>
      <c r="L1" s="8"/>
      <c r="M1" s="8"/>
      <c r="N1" s="8"/>
      <c r="O1" s="8"/>
      <c r="P1" s="8"/>
      <c r="Q1" s="8"/>
      <c r="R1" s="9"/>
      <c r="S1" s="9"/>
      <c r="T1" s="9"/>
    </row>
    <row r="2" customFormat="false" ht="15" hidden="false" customHeight="true" outlineLevel="0" collapsed="false">
      <c r="A2" s="10" t="s">
        <v>54</v>
      </c>
      <c r="B2" s="10" t="s">
        <v>55</v>
      </c>
      <c r="C2" s="10" t="s">
        <v>56</v>
      </c>
      <c r="D2" s="10" t="s">
        <v>57</v>
      </c>
      <c r="E2" s="10" t="s">
        <v>58</v>
      </c>
      <c r="F2" s="10" t="s">
        <v>59</v>
      </c>
      <c r="G2" s="10" t="s">
        <v>60</v>
      </c>
      <c r="H2" s="10" t="s">
        <v>61</v>
      </c>
      <c r="I2" s="10" t="s">
        <v>62</v>
      </c>
      <c r="J2" s="10" t="s">
        <v>63</v>
      </c>
      <c r="K2" s="10" t="s">
        <v>64</v>
      </c>
      <c r="L2" s="10" t="s">
        <v>65</v>
      </c>
      <c r="M2" s="10" t="s">
        <v>66</v>
      </c>
      <c r="N2" s="10" t="s">
        <v>67</v>
      </c>
      <c r="O2" s="10" t="s">
        <v>68</v>
      </c>
      <c r="P2" s="10" t="s">
        <v>69</v>
      </c>
      <c r="Q2" s="10" t="s">
        <v>70</v>
      </c>
    </row>
    <row r="3" customFormat="false" ht="15" hidden="false" customHeight="true" outlineLevel="0" collapsed="false">
      <c r="A3" s="35" t="s">
        <v>861</v>
      </c>
      <c r="B3" s="35"/>
      <c r="C3" s="35"/>
      <c r="D3" s="35"/>
      <c r="E3" s="35"/>
      <c r="F3" s="35"/>
      <c r="G3" s="35"/>
      <c r="H3" s="35"/>
      <c r="I3" s="35"/>
      <c r="J3" s="35"/>
      <c r="K3" s="35"/>
      <c r="L3" s="35"/>
      <c r="M3" s="35"/>
      <c r="N3" s="35"/>
      <c r="O3" s="35"/>
      <c r="P3" s="35"/>
      <c r="Q3" s="35"/>
    </row>
    <row r="4" customFormat="false" ht="42.75" hidden="false" customHeight="true" outlineLevel="0" collapsed="false">
      <c r="A4" s="11" t="s">
        <v>862</v>
      </c>
      <c r="B4" s="12" t="s">
        <v>75</v>
      </c>
      <c r="C4" s="13" t="s">
        <v>863</v>
      </c>
      <c r="D4" s="13" t="s">
        <v>864</v>
      </c>
      <c r="E4" s="13" t="s">
        <v>84</v>
      </c>
      <c r="F4" s="14" t="s">
        <v>865</v>
      </c>
      <c r="G4" s="14" t="s">
        <v>866</v>
      </c>
      <c r="H4" s="14" t="s">
        <v>84</v>
      </c>
      <c r="I4" s="15" t="s">
        <v>867</v>
      </c>
      <c r="J4" s="15" t="s">
        <v>868</v>
      </c>
      <c r="K4" s="15" t="s">
        <v>869</v>
      </c>
      <c r="L4" s="16" t="s">
        <v>870</v>
      </c>
      <c r="M4" s="16" t="s">
        <v>871</v>
      </c>
      <c r="N4" s="16" t="s">
        <v>870</v>
      </c>
      <c r="O4" s="17" t="s">
        <v>863</v>
      </c>
      <c r="P4" s="17" t="s">
        <v>872</v>
      </c>
      <c r="Q4" s="17" t="s">
        <v>784</v>
      </c>
      <c r="R4" s="18" t="s">
        <v>873</v>
      </c>
    </row>
    <row r="5" customFormat="false" ht="15" hidden="false" customHeight="true" outlineLevel="0" collapsed="false">
      <c r="A5" s="11" t="s">
        <v>874</v>
      </c>
      <c r="B5" s="12" t="s">
        <v>75</v>
      </c>
      <c r="C5" s="13" t="s">
        <v>76</v>
      </c>
      <c r="D5" s="13" t="s">
        <v>76</v>
      </c>
      <c r="E5" s="13" t="s">
        <v>76</v>
      </c>
      <c r="F5" s="14" t="s">
        <v>875</v>
      </c>
      <c r="G5" s="14" t="s">
        <v>876</v>
      </c>
      <c r="H5" s="14" t="s">
        <v>877</v>
      </c>
      <c r="I5" s="15" t="s">
        <v>878</v>
      </c>
      <c r="J5" s="15" t="s">
        <v>879</v>
      </c>
      <c r="K5" s="15" t="s">
        <v>880</v>
      </c>
      <c r="L5" s="16" t="s">
        <v>881</v>
      </c>
      <c r="M5" s="16" t="s">
        <v>882</v>
      </c>
      <c r="N5" s="16" t="s">
        <v>882</v>
      </c>
      <c r="O5" s="17" t="s">
        <v>84</v>
      </c>
      <c r="P5" s="17" t="s">
        <v>883</v>
      </c>
      <c r="Q5" s="17" t="s">
        <v>884</v>
      </c>
      <c r="R5" s="18" t="s">
        <v>885</v>
      </c>
    </row>
    <row r="6" customFormat="false" ht="23.25" hidden="false" customHeight="true" outlineLevel="0" collapsed="false">
      <c r="A6" s="11" t="s">
        <v>886</v>
      </c>
      <c r="B6" s="12" t="s">
        <v>173</v>
      </c>
      <c r="C6" s="13" t="s">
        <v>174</v>
      </c>
      <c r="D6" s="13" t="s">
        <v>174</v>
      </c>
      <c r="E6" s="13" t="s">
        <v>174</v>
      </c>
      <c r="F6" s="14" t="s">
        <v>174</v>
      </c>
      <c r="G6" s="14" t="s">
        <v>175</v>
      </c>
      <c r="H6" s="14" t="s">
        <v>176</v>
      </c>
      <c r="I6" s="15" t="s">
        <v>174</v>
      </c>
      <c r="J6" s="15" t="s">
        <v>174</v>
      </c>
      <c r="K6" s="15" t="s">
        <v>174</v>
      </c>
      <c r="L6" s="16" t="s">
        <v>174</v>
      </c>
      <c r="M6" s="16" t="s">
        <v>174</v>
      </c>
      <c r="N6" s="16" t="s">
        <v>174</v>
      </c>
      <c r="O6" s="17" t="s">
        <v>174</v>
      </c>
      <c r="P6" s="17" t="s">
        <v>222</v>
      </c>
      <c r="Q6" s="17" t="s">
        <v>223</v>
      </c>
    </row>
    <row r="8" customFormat="false" ht="15" hidden="false" customHeight="true" outlineLevel="0" collapsed="false">
      <c r="A8" s="35" t="s">
        <v>887</v>
      </c>
      <c r="B8" s="35"/>
      <c r="C8" s="35"/>
      <c r="D8" s="35"/>
      <c r="E8" s="35"/>
      <c r="F8" s="35"/>
      <c r="G8" s="35"/>
      <c r="H8" s="35"/>
      <c r="I8" s="35"/>
      <c r="J8" s="35"/>
      <c r="K8" s="35"/>
      <c r="L8" s="35"/>
      <c r="M8" s="35"/>
      <c r="N8" s="35"/>
      <c r="O8" s="35"/>
      <c r="P8" s="35"/>
      <c r="Q8" s="35"/>
    </row>
    <row r="9" customFormat="false" ht="102" hidden="false" customHeight="true" outlineLevel="0" collapsed="false">
      <c r="A9" s="11" t="s">
        <v>888</v>
      </c>
      <c r="B9" s="12" t="s">
        <v>889</v>
      </c>
      <c r="C9" s="13" t="s">
        <v>890</v>
      </c>
      <c r="D9" s="13" t="s">
        <v>865</v>
      </c>
      <c r="E9" s="13" t="s">
        <v>891</v>
      </c>
      <c r="F9" s="14" t="s">
        <v>892</v>
      </c>
      <c r="G9" s="14" t="s">
        <v>893</v>
      </c>
      <c r="H9" s="14" t="s">
        <v>893</v>
      </c>
      <c r="I9" s="15" t="s">
        <v>894</v>
      </c>
      <c r="J9" s="15" t="s">
        <v>894</v>
      </c>
      <c r="K9" s="15" t="s">
        <v>894</v>
      </c>
      <c r="L9" s="16" t="s">
        <v>895</v>
      </c>
      <c r="M9" s="16" t="s">
        <v>896</v>
      </c>
      <c r="N9" s="16" t="s">
        <v>897</v>
      </c>
      <c r="O9" s="17" t="s">
        <v>898</v>
      </c>
      <c r="P9" s="17" t="s">
        <v>899</v>
      </c>
      <c r="Q9" s="17" t="s">
        <v>900</v>
      </c>
      <c r="R9" s="18" t="s">
        <v>901</v>
      </c>
    </row>
    <row r="10" customFormat="false" ht="102" hidden="false" customHeight="true" outlineLevel="0" collapsed="false">
      <c r="A10" s="11" t="s">
        <v>902</v>
      </c>
      <c r="B10" s="12" t="s">
        <v>889</v>
      </c>
      <c r="C10" s="13" t="s">
        <v>890</v>
      </c>
      <c r="D10" s="13" t="s">
        <v>903</v>
      </c>
      <c r="E10" s="13" t="s">
        <v>904</v>
      </c>
      <c r="F10" s="14" t="s">
        <v>905</v>
      </c>
      <c r="G10" s="14" t="s">
        <v>906</v>
      </c>
      <c r="H10" s="14" t="s">
        <v>907</v>
      </c>
      <c r="I10" s="15" t="s">
        <v>908</v>
      </c>
      <c r="J10" s="15" t="s">
        <v>908</v>
      </c>
      <c r="K10" s="15" t="s">
        <v>908</v>
      </c>
      <c r="L10" s="16" t="s">
        <v>909</v>
      </c>
      <c r="M10" s="16" t="s">
        <v>910</v>
      </c>
      <c r="N10" s="16" t="s">
        <v>911</v>
      </c>
      <c r="O10" s="17" t="s">
        <v>912</v>
      </c>
      <c r="P10" s="17" t="s">
        <v>913</v>
      </c>
      <c r="Q10" s="17" t="s">
        <v>914</v>
      </c>
    </row>
    <row r="11" customFormat="false" ht="102" hidden="false" customHeight="true" outlineLevel="0" collapsed="false">
      <c r="A11" s="11" t="s">
        <v>915</v>
      </c>
      <c r="B11" s="12" t="s">
        <v>889</v>
      </c>
      <c r="C11" s="13" t="s">
        <v>890</v>
      </c>
      <c r="D11" s="13" t="s">
        <v>916</v>
      </c>
      <c r="E11" s="13" t="s">
        <v>917</v>
      </c>
      <c r="F11" s="14" t="s">
        <v>918</v>
      </c>
      <c r="G11" s="14" t="s">
        <v>919</v>
      </c>
      <c r="H11" s="14" t="s">
        <v>918</v>
      </c>
      <c r="I11" s="15" t="s">
        <v>162</v>
      </c>
      <c r="J11" s="15" t="s">
        <v>919</v>
      </c>
      <c r="K11" s="15" t="s">
        <v>918</v>
      </c>
      <c r="L11" s="16" t="s">
        <v>920</v>
      </c>
      <c r="M11" s="16" t="s">
        <v>921</v>
      </c>
      <c r="N11" s="16" t="s">
        <v>922</v>
      </c>
      <c r="O11" s="17" t="s">
        <v>923</v>
      </c>
      <c r="P11" s="17" t="s">
        <v>924</v>
      </c>
      <c r="Q11" s="17" t="s">
        <v>925</v>
      </c>
    </row>
    <row r="12" customFormat="false" ht="102" hidden="false" customHeight="true" outlineLevel="0" collapsed="false">
      <c r="A12" s="11" t="s">
        <v>926</v>
      </c>
      <c r="B12" s="12" t="s">
        <v>889</v>
      </c>
      <c r="C12" s="13" t="s">
        <v>890</v>
      </c>
      <c r="D12" s="13" t="s">
        <v>927</v>
      </c>
      <c r="E12" s="13" t="s">
        <v>928</v>
      </c>
      <c r="F12" s="14" t="s">
        <v>929</v>
      </c>
      <c r="G12" s="14" t="s">
        <v>930</v>
      </c>
      <c r="H12" s="14" t="s">
        <v>929</v>
      </c>
      <c r="I12" s="15" t="s">
        <v>931</v>
      </c>
      <c r="J12" s="15" t="s">
        <v>932</v>
      </c>
      <c r="K12" s="15" t="s">
        <v>933</v>
      </c>
      <c r="L12" s="16" t="s">
        <v>934</v>
      </c>
      <c r="M12" s="16" t="s">
        <v>935</v>
      </c>
      <c r="N12" s="16" t="s">
        <v>936</v>
      </c>
      <c r="O12" s="17" t="s">
        <v>937</v>
      </c>
      <c r="P12" s="17" t="s">
        <v>938</v>
      </c>
      <c r="Q12" s="17" t="s">
        <v>939</v>
      </c>
      <c r="R12" s="18" t="s">
        <v>940</v>
      </c>
    </row>
    <row r="13" customFormat="false" ht="23.25" hidden="false" customHeight="true" outlineLevel="0" collapsed="false">
      <c r="A13" s="11" t="s">
        <v>941</v>
      </c>
      <c r="B13" s="12" t="s">
        <v>173</v>
      </c>
      <c r="C13" s="13" t="s">
        <v>174</v>
      </c>
      <c r="D13" s="13" t="s">
        <v>174</v>
      </c>
      <c r="E13" s="13" t="s">
        <v>174</v>
      </c>
      <c r="F13" s="14" t="s">
        <v>174</v>
      </c>
      <c r="G13" s="14" t="s">
        <v>175</v>
      </c>
      <c r="H13" s="14" t="s">
        <v>176</v>
      </c>
      <c r="I13" s="15" t="s">
        <v>174</v>
      </c>
      <c r="J13" s="15" t="s">
        <v>174</v>
      </c>
      <c r="K13" s="15" t="s">
        <v>174</v>
      </c>
      <c r="L13" s="16" t="s">
        <v>174</v>
      </c>
      <c r="M13" s="16" t="s">
        <v>174</v>
      </c>
      <c r="N13" s="16" t="s">
        <v>174</v>
      </c>
      <c r="O13" s="17" t="s">
        <v>174</v>
      </c>
      <c r="P13" s="17" t="s">
        <v>222</v>
      </c>
      <c r="Q13" s="17" t="s">
        <v>223</v>
      </c>
    </row>
  </sheetData>
  <mergeCells count="3">
    <mergeCell ref="A1:Q1"/>
    <mergeCell ref="A3:Q3"/>
    <mergeCell ref="A8:Q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7" min="3" style="1" width="13"/>
    <col collapsed="false" customWidth="true" hidden="false" outlineLevel="0" max="8" min="8" style="1" width="50"/>
  </cols>
  <sheetData>
    <row r="1" customFormat="false" ht="17.25" hidden="false" customHeight="true" outlineLevel="0" collapsed="false">
      <c r="A1" s="36" t="s">
        <v>942</v>
      </c>
      <c r="B1" s="36"/>
      <c r="C1" s="36"/>
      <c r="D1" s="36"/>
      <c r="E1" s="36"/>
      <c r="F1" s="36"/>
      <c r="G1" s="36"/>
      <c r="H1" s="36"/>
    </row>
    <row r="2" customFormat="false" ht="15" hidden="false" customHeight="true" outlineLevel="0" collapsed="false">
      <c r="A2" s="37" t="s">
        <v>943</v>
      </c>
      <c r="B2" s="37"/>
      <c r="C2" s="37"/>
      <c r="D2" s="37"/>
      <c r="E2" s="37"/>
      <c r="F2" s="37"/>
      <c r="G2" s="37"/>
      <c r="H2" s="37"/>
    </row>
    <row r="4" customFormat="false" ht="15" hidden="false" customHeight="true" outlineLevel="0" collapsed="false">
      <c r="A4" s="38" t="s">
        <v>944</v>
      </c>
      <c r="B4" s="38"/>
      <c r="C4" s="38"/>
      <c r="D4" s="38"/>
      <c r="E4" s="38"/>
      <c r="F4" s="38"/>
      <c r="G4" s="38"/>
      <c r="H4" s="38"/>
    </row>
    <row r="5" customFormat="false" ht="15" hidden="false" customHeight="true" outlineLevel="0" collapsed="false">
      <c r="A5" s="39" t="s">
        <v>945</v>
      </c>
      <c r="B5" s="39"/>
      <c r="C5" s="39"/>
      <c r="D5" s="39"/>
      <c r="E5" s="39"/>
      <c r="F5" s="39"/>
      <c r="G5" s="39"/>
      <c r="H5" s="39"/>
    </row>
    <row r="6" customFormat="false" ht="23.25" hidden="false" customHeight="true" outlineLevel="0" collapsed="false">
      <c r="A6" s="39" t="s">
        <v>946</v>
      </c>
      <c r="B6" s="39"/>
      <c r="C6" s="39"/>
      <c r="D6" s="39"/>
      <c r="E6" s="39"/>
      <c r="F6" s="39"/>
      <c r="G6" s="39"/>
      <c r="H6" s="39"/>
    </row>
    <row r="7" customFormat="false" ht="15" hidden="false" customHeight="true" outlineLevel="0" collapsed="false">
      <c r="A7" s="39" t="s">
        <v>947</v>
      </c>
      <c r="B7" s="39"/>
      <c r="C7" s="39"/>
      <c r="D7" s="39"/>
      <c r="E7" s="39"/>
      <c r="F7" s="39"/>
      <c r="G7" s="39"/>
      <c r="H7" s="39"/>
    </row>
    <row r="8" customFormat="false" ht="34.5" hidden="false" customHeight="true" outlineLevel="0" collapsed="false">
      <c r="A8" s="39" t="s">
        <v>948</v>
      </c>
      <c r="B8" s="39"/>
      <c r="C8" s="39"/>
      <c r="D8" s="39"/>
      <c r="E8" s="39"/>
      <c r="F8" s="39"/>
      <c r="G8" s="39"/>
      <c r="H8" s="39"/>
    </row>
    <row r="9" customFormat="false" ht="23.25" hidden="false" customHeight="true" outlineLevel="0" collapsed="false">
      <c r="A9" s="39" t="s">
        <v>949</v>
      </c>
      <c r="B9" s="39"/>
      <c r="C9" s="39"/>
      <c r="D9" s="39"/>
      <c r="E9" s="39"/>
      <c r="F9" s="39"/>
      <c r="G9" s="39"/>
      <c r="H9" s="39"/>
    </row>
    <row r="11" customFormat="false" ht="15" hidden="false" customHeight="true" outlineLevel="0" collapsed="false">
      <c r="A11" s="38" t="s">
        <v>950</v>
      </c>
      <c r="B11" s="38"/>
      <c r="C11" s="38"/>
      <c r="D11" s="38"/>
      <c r="E11" s="38"/>
      <c r="F11" s="38"/>
      <c r="G11" s="38"/>
      <c r="H11" s="38"/>
    </row>
    <row r="12" customFormat="false" ht="23.25" hidden="false" customHeight="true" outlineLevel="0" collapsed="false">
      <c r="A12" s="10" t="s">
        <v>54</v>
      </c>
      <c r="B12" s="10" t="s">
        <v>951</v>
      </c>
      <c r="C12" s="10" t="s">
        <v>620</v>
      </c>
      <c r="D12" s="10" t="s">
        <v>627</v>
      </c>
      <c r="E12" s="10" t="s">
        <v>630</v>
      </c>
      <c r="F12" s="10" t="s">
        <v>633</v>
      </c>
      <c r="G12" s="10" t="s">
        <v>636</v>
      </c>
    </row>
    <row r="13" customFormat="false" ht="18.75" hidden="false" customHeight="true" outlineLevel="0" collapsed="false">
      <c r="A13" s="40" t="s">
        <v>952</v>
      </c>
      <c r="B13" s="41" t="s">
        <v>953</v>
      </c>
      <c r="C13" s="13" t="n">
        <v>1.34</v>
      </c>
      <c r="D13" s="14" t="n">
        <v>1.69</v>
      </c>
      <c r="E13" s="15" t="n">
        <v>1.12</v>
      </c>
      <c r="F13" s="16" t="n">
        <v>3</v>
      </c>
      <c r="G13" s="17" t="n">
        <v>0.36</v>
      </c>
    </row>
    <row r="14" customFormat="false" ht="15" hidden="false" customHeight="true" outlineLevel="0" collapsed="false">
      <c r="A14" s="40" t="s">
        <v>954</v>
      </c>
      <c r="B14" s="41" t="s">
        <v>955</v>
      </c>
      <c r="C14" s="13" t="s">
        <v>956</v>
      </c>
      <c r="D14" s="14" t="s">
        <v>957</v>
      </c>
      <c r="E14" s="15" t="s">
        <v>958</v>
      </c>
      <c r="F14" s="16" t="s">
        <v>959</v>
      </c>
      <c r="G14" s="17" t="s">
        <v>216</v>
      </c>
    </row>
    <row r="15" customFormat="false" ht="27.75" hidden="false" customHeight="true" outlineLevel="0" collapsed="false">
      <c r="A15" s="40" t="s">
        <v>960</v>
      </c>
      <c r="B15" s="41" t="s">
        <v>961</v>
      </c>
      <c r="C15" s="13" t="s">
        <v>331</v>
      </c>
      <c r="D15" s="14" t="n">
        <v>2.43</v>
      </c>
      <c r="E15" s="15" t="n">
        <v>6.68</v>
      </c>
      <c r="F15" s="16" t="n">
        <v>6.65</v>
      </c>
      <c r="G15" s="17" t="n">
        <v>14.04</v>
      </c>
    </row>
    <row r="16" customFormat="false" ht="23.25" hidden="false" customHeight="true" outlineLevel="0" collapsed="false">
      <c r="A16" s="40" t="s">
        <v>962</v>
      </c>
      <c r="B16" s="41" t="s">
        <v>955</v>
      </c>
      <c r="C16" s="13" t="s">
        <v>876</v>
      </c>
      <c r="D16" s="14" t="s">
        <v>963</v>
      </c>
      <c r="E16" s="15" t="s">
        <v>964</v>
      </c>
      <c r="F16" s="16" t="s">
        <v>965</v>
      </c>
      <c r="G16" s="17" t="s">
        <v>76</v>
      </c>
    </row>
    <row r="17" customFormat="false" ht="15" hidden="false" customHeight="true" outlineLevel="0" collapsed="false">
      <c r="A17" s="40" t="s">
        <v>966</v>
      </c>
      <c r="B17" s="41" t="s">
        <v>955</v>
      </c>
      <c r="C17" s="13" t="s">
        <v>967</v>
      </c>
      <c r="D17" s="14" t="s">
        <v>968</v>
      </c>
      <c r="E17" s="15" t="s">
        <v>969</v>
      </c>
      <c r="F17" s="16" t="s">
        <v>970</v>
      </c>
      <c r="G17" s="17" t="s">
        <v>971</v>
      </c>
    </row>
    <row r="18" customFormat="false" ht="23.25" hidden="false" customHeight="true" outlineLevel="0" collapsed="false">
      <c r="A18" s="40" t="s">
        <v>972</v>
      </c>
      <c r="B18" s="41" t="s">
        <v>973</v>
      </c>
      <c r="C18" s="13" t="s">
        <v>778</v>
      </c>
      <c r="D18" s="14" t="s">
        <v>780</v>
      </c>
      <c r="E18" s="15" t="s">
        <v>783</v>
      </c>
      <c r="F18" s="16" t="s">
        <v>786</v>
      </c>
      <c r="G18" s="17" t="s">
        <v>789</v>
      </c>
    </row>
    <row r="19" customFormat="false" ht="15" hidden="false" customHeight="true" outlineLevel="0" collapsed="false">
      <c r="A19" s="40" t="s">
        <v>974</v>
      </c>
      <c r="B19" s="41" t="s">
        <v>973</v>
      </c>
      <c r="C19" s="13" t="s">
        <v>208</v>
      </c>
      <c r="D19" s="14" t="s">
        <v>207</v>
      </c>
      <c r="E19" s="15" t="s">
        <v>213</v>
      </c>
      <c r="F19" s="16" t="s">
        <v>215</v>
      </c>
      <c r="G19" s="17" t="s">
        <v>217</v>
      </c>
    </row>
    <row r="20" customFormat="false" ht="27.75" hidden="false" customHeight="true" outlineLevel="0" collapsed="false">
      <c r="A20" s="40" t="s">
        <v>975</v>
      </c>
      <c r="B20" s="41" t="s">
        <v>976</v>
      </c>
      <c r="C20" s="13" t="s">
        <v>77</v>
      </c>
      <c r="D20" s="14" t="s">
        <v>80</v>
      </c>
      <c r="E20" s="15" t="s">
        <v>83</v>
      </c>
      <c r="F20" s="16" t="s">
        <v>86</v>
      </c>
      <c r="G20" s="17" t="s">
        <v>89</v>
      </c>
    </row>
    <row r="21" customFormat="false" ht="27.75" hidden="false" customHeight="true" outlineLevel="0" collapsed="false">
      <c r="A21" s="40" t="s">
        <v>977</v>
      </c>
      <c r="B21" s="41" t="s">
        <v>978</v>
      </c>
      <c r="C21" s="13" t="s">
        <v>979</v>
      </c>
      <c r="D21" s="14" t="s">
        <v>980</v>
      </c>
      <c r="E21" s="15" t="s">
        <v>84</v>
      </c>
      <c r="F21" s="16" t="s">
        <v>981</v>
      </c>
      <c r="G21" s="17" t="s">
        <v>982</v>
      </c>
    </row>
    <row r="22" customFormat="false" ht="23.25" hidden="false" customHeight="true" outlineLevel="0" collapsed="false">
      <c r="A22" s="40" t="s">
        <v>983</v>
      </c>
      <c r="B22" s="41" t="s">
        <v>973</v>
      </c>
      <c r="C22" s="13" t="s">
        <v>984</v>
      </c>
      <c r="D22" s="14" t="s">
        <v>985</v>
      </c>
      <c r="E22" s="15" t="s">
        <v>986</v>
      </c>
      <c r="F22" s="16" t="s">
        <v>987</v>
      </c>
      <c r="G22" s="17" t="s">
        <v>988</v>
      </c>
    </row>
    <row r="23" customFormat="false" ht="23.25" hidden="false" customHeight="true" outlineLevel="0" collapsed="false">
      <c r="A23" s="40" t="s">
        <v>989</v>
      </c>
      <c r="B23" s="41" t="s">
        <v>990</v>
      </c>
      <c r="C23" s="13" t="n">
        <v>5162</v>
      </c>
      <c r="D23" s="14" t="n">
        <v>2132</v>
      </c>
      <c r="E23" s="15" t="n">
        <v>4083</v>
      </c>
      <c r="F23" s="16" t="n">
        <v>12091</v>
      </c>
      <c r="G23" s="17" t="n">
        <v>642</v>
      </c>
    </row>
    <row r="25" customFormat="false" ht="15" hidden="false" customHeight="true" outlineLevel="0" collapsed="false">
      <c r="A25" s="38" t="s">
        <v>991</v>
      </c>
      <c r="B25" s="38"/>
      <c r="C25" s="38"/>
      <c r="D25" s="38"/>
      <c r="E25" s="38"/>
      <c r="F25" s="38"/>
      <c r="G25" s="38"/>
      <c r="H25" s="38"/>
    </row>
    <row r="26" customFormat="false" ht="15" hidden="false" customHeight="true" outlineLevel="0" collapsed="false">
      <c r="A26" s="10" t="s">
        <v>54</v>
      </c>
      <c r="B26" s="10" t="s">
        <v>992</v>
      </c>
      <c r="C26" s="10" t="s">
        <v>620</v>
      </c>
      <c r="D26" s="10" t="s">
        <v>627</v>
      </c>
      <c r="E26" s="10" t="s">
        <v>630</v>
      </c>
      <c r="F26" s="10" t="s">
        <v>633</v>
      </c>
      <c r="G26" s="10" t="s">
        <v>636</v>
      </c>
    </row>
    <row r="27" customFormat="false" ht="15" hidden="false" customHeight="true" outlineLevel="0" collapsed="false">
      <c r="A27" s="40" t="s">
        <v>952</v>
      </c>
      <c r="B27" s="12" t="s">
        <v>993</v>
      </c>
      <c r="C27" s="42" t="n">
        <v>3</v>
      </c>
      <c r="D27" s="43" t="n">
        <v>2</v>
      </c>
      <c r="E27" s="44" t="n">
        <v>4</v>
      </c>
      <c r="F27" s="43" t="n">
        <v>1</v>
      </c>
      <c r="G27" s="44" t="n">
        <v>5</v>
      </c>
    </row>
    <row r="28" customFormat="false" ht="15" hidden="false" customHeight="true" outlineLevel="0" collapsed="false">
      <c r="A28" s="40" t="s">
        <v>954</v>
      </c>
      <c r="B28" s="12" t="s">
        <v>993</v>
      </c>
      <c r="C28" s="44" t="n">
        <v>4</v>
      </c>
      <c r="D28" s="43" t="n">
        <v>2</v>
      </c>
      <c r="E28" s="44" t="n">
        <v>5</v>
      </c>
      <c r="F28" s="42" t="n">
        <v>3</v>
      </c>
      <c r="G28" s="43" t="n">
        <v>1</v>
      </c>
    </row>
    <row r="29" customFormat="false" ht="15" hidden="false" customHeight="true" outlineLevel="0" collapsed="false">
      <c r="A29" s="40" t="s">
        <v>960</v>
      </c>
      <c r="B29" s="12" t="s">
        <v>993</v>
      </c>
      <c r="C29" s="42" t="n">
        <v>3</v>
      </c>
      <c r="D29" s="44" t="n">
        <v>5</v>
      </c>
      <c r="E29" s="43" t="n">
        <v>2</v>
      </c>
      <c r="F29" s="44" t="n">
        <v>4</v>
      </c>
      <c r="G29" s="43" t="n">
        <v>1</v>
      </c>
    </row>
    <row r="30" customFormat="false" ht="23.25" hidden="false" customHeight="true" outlineLevel="0" collapsed="false">
      <c r="A30" s="40" t="s">
        <v>962</v>
      </c>
      <c r="B30" s="12" t="s">
        <v>993</v>
      </c>
      <c r="C30" s="42" t="n">
        <v>3</v>
      </c>
      <c r="D30" s="43" t="n">
        <v>1</v>
      </c>
      <c r="E30" s="44" t="n">
        <v>4</v>
      </c>
      <c r="F30" s="43" t="n">
        <v>2</v>
      </c>
      <c r="G30" s="44" t="n">
        <v>5</v>
      </c>
    </row>
    <row r="31" customFormat="false" ht="15" hidden="false" customHeight="true" outlineLevel="0" collapsed="false">
      <c r="A31" s="40" t="s">
        <v>966</v>
      </c>
      <c r="B31" s="12" t="s">
        <v>994</v>
      </c>
      <c r="C31" s="42" t="n">
        <v>3</v>
      </c>
      <c r="D31" s="43" t="n">
        <v>2</v>
      </c>
      <c r="E31" s="44" t="n">
        <v>5</v>
      </c>
      <c r="F31" s="44" t="n">
        <v>4</v>
      </c>
      <c r="G31" s="43" t="n">
        <v>1</v>
      </c>
    </row>
    <row r="32" customFormat="false" ht="23.25" hidden="false" customHeight="true" outlineLevel="0" collapsed="false">
      <c r="A32" s="40" t="s">
        <v>972</v>
      </c>
      <c r="B32" s="12" t="s">
        <v>994</v>
      </c>
      <c r="C32" s="43" t="n">
        <v>2</v>
      </c>
      <c r="D32" s="42" t="n">
        <v>3</v>
      </c>
      <c r="E32" s="44" t="n">
        <v>4</v>
      </c>
      <c r="F32" s="44" t="n">
        <v>5</v>
      </c>
      <c r="G32" s="43" t="n">
        <v>1</v>
      </c>
    </row>
    <row r="33" customFormat="false" ht="15" hidden="false" customHeight="true" outlineLevel="0" collapsed="false">
      <c r="A33" s="40" t="s">
        <v>974</v>
      </c>
      <c r="B33" s="12" t="s">
        <v>994</v>
      </c>
      <c r="C33" s="43" t="n">
        <v>2</v>
      </c>
      <c r="D33" s="42" t="n">
        <v>3</v>
      </c>
      <c r="E33" s="43" t="n">
        <v>1</v>
      </c>
      <c r="F33" s="44" t="n">
        <v>4</v>
      </c>
      <c r="G33" s="44" t="n">
        <v>5</v>
      </c>
    </row>
    <row r="34" customFormat="false" ht="15" hidden="false" customHeight="true" outlineLevel="0" collapsed="false">
      <c r="A34" s="40" t="s">
        <v>975</v>
      </c>
      <c r="B34" s="12" t="s">
        <v>994</v>
      </c>
      <c r="C34" s="42" t="n">
        <v>3</v>
      </c>
      <c r="D34" s="44" t="n">
        <v>4</v>
      </c>
      <c r="E34" s="43" t="n">
        <v>2</v>
      </c>
      <c r="F34" s="43" t="n">
        <v>1</v>
      </c>
      <c r="G34" s="44" t="n">
        <v>5</v>
      </c>
    </row>
    <row r="35" customFormat="false" ht="23.25" hidden="false" customHeight="true" outlineLevel="0" collapsed="false">
      <c r="A35" s="40" t="s">
        <v>977</v>
      </c>
      <c r="B35" s="12" t="s">
        <v>994</v>
      </c>
      <c r="C35" s="43" t="n">
        <v>2</v>
      </c>
      <c r="D35" s="42" t="n">
        <v>3</v>
      </c>
      <c r="E35" s="43" t="n">
        <v>1</v>
      </c>
      <c r="F35" s="44" t="n">
        <v>4</v>
      </c>
      <c r="G35" s="44" t="n">
        <v>5</v>
      </c>
    </row>
    <row r="36" customFormat="false" ht="23.25" hidden="false" customHeight="true" outlineLevel="0" collapsed="false">
      <c r="A36" s="40" t="s">
        <v>983</v>
      </c>
      <c r="B36" s="12" t="s">
        <v>995</v>
      </c>
      <c r="C36" s="44" t="n">
        <v>4</v>
      </c>
      <c r="D36" s="42" t="n">
        <v>3</v>
      </c>
      <c r="E36" s="43" t="n">
        <v>2</v>
      </c>
      <c r="F36" s="44" t="n">
        <v>5</v>
      </c>
      <c r="G36" s="43" t="n">
        <v>1</v>
      </c>
    </row>
    <row r="37" customFormat="false" ht="23.25" hidden="false" customHeight="true" outlineLevel="0" collapsed="false">
      <c r="A37" s="40" t="s">
        <v>989</v>
      </c>
      <c r="B37" s="12" t="s">
        <v>995</v>
      </c>
      <c r="C37" s="43" t="n">
        <v>2</v>
      </c>
      <c r="D37" s="44" t="n">
        <v>4</v>
      </c>
      <c r="E37" s="42" t="n">
        <v>3</v>
      </c>
      <c r="F37" s="43" t="n">
        <v>1</v>
      </c>
      <c r="G37" s="44" t="n">
        <v>5</v>
      </c>
    </row>
    <row r="38" customFormat="false" ht="15" hidden="false" customHeight="true" outlineLevel="0" collapsed="false">
      <c r="A38" s="31" t="s">
        <v>996</v>
      </c>
      <c r="B38" s="45"/>
      <c r="C38" s="46" t="n">
        <f aca="false">SUM(C27:C30)</f>
        <v>13</v>
      </c>
      <c r="D38" s="46" t="n">
        <f aca="false">SUM(D27:D30)</f>
        <v>10</v>
      </c>
      <c r="E38" s="46" t="n">
        <f aca="false">SUM(E27:E30)</f>
        <v>15</v>
      </c>
      <c r="F38" s="46" t="n">
        <f aca="false">SUM(F27:F30)</f>
        <v>10</v>
      </c>
      <c r="G38" s="46" t="n">
        <f aca="false">SUM(G27:G30)</f>
        <v>12</v>
      </c>
    </row>
    <row r="39" customFormat="false" ht="15" hidden="false" customHeight="true" outlineLevel="0" collapsed="false">
      <c r="A39" s="31" t="s">
        <v>997</v>
      </c>
      <c r="B39" s="45"/>
      <c r="C39" s="46" t="n">
        <f aca="false">SUM(C31:C35)</f>
        <v>12</v>
      </c>
      <c r="D39" s="46" t="n">
        <f aca="false">SUM(D31:D35)</f>
        <v>15</v>
      </c>
      <c r="E39" s="46" t="n">
        <f aca="false">SUM(E31:E35)</f>
        <v>13</v>
      </c>
      <c r="F39" s="46" t="n">
        <f aca="false">SUM(F31:F35)</f>
        <v>18</v>
      </c>
      <c r="G39" s="46" t="n">
        <f aca="false">SUM(G31:G35)</f>
        <v>17</v>
      </c>
    </row>
    <row r="40" customFormat="false" ht="15" hidden="false" customHeight="true" outlineLevel="0" collapsed="false">
      <c r="A40" s="31" t="s">
        <v>998</v>
      </c>
      <c r="B40" s="45"/>
      <c r="C40" s="46" t="n">
        <f aca="false">SUM(C36:C37)</f>
        <v>6</v>
      </c>
      <c r="D40" s="46" t="n">
        <f aca="false">SUM(D36:D37)</f>
        <v>7</v>
      </c>
      <c r="E40" s="46" t="n">
        <f aca="false">SUM(E36:E37)</f>
        <v>5</v>
      </c>
      <c r="F40" s="46" t="n">
        <f aca="false">SUM(F36:F37)</f>
        <v>6</v>
      </c>
      <c r="G40" s="46" t="n">
        <f aca="false">SUM(G36:G37)</f>
        <v>6</v>
      </c>
    </row>
    <row r="41" customFormat="false" ht="15" hidden="false" customHeight="true" outlineLevel="0" collapsed="false">
      <c r="A41" s="47" t="s">
        <v>999</v>
      </c>
      <c r="B41" s="48"/>
      <c r="C41" s="49" t="n">
        <f aca="false">SUM(C27:C37)</f>
        <v>31</v>
      </c>
      <c r="D41" s="49" t="n">
        <f aca="false">SUM(D27:D37)</f>
        <v>32</v>
      </c>
      <c r="E41" s="49" t="n">
        <f aca="false">SUM(E27:E37)</f>
        <v>33</v>
      </c>
      <c r="F41" s="49" t="n">
        <f aca="false">SUM(F27:F37)</f>
        <v>34</v>
      </c>
      <c r="G41" s="49" t="n">
        <f aca="false">SUM(G27:G37)</f>
        <v>35</v>
      </c>
    </row>
    <row r="43" customFormat="false" ht="15" hidden="false" customHeight="true" outlineLevel="0" collapsed="false">
      <c r="A43" s="38" t="s">
        <v>1000</v>
      </c>
      <c r="B43" s="38"/>
      <c r="C43" s="38"/>
      <c r="D43" s="38"/>
      <c r="E43" s="38"/>
      <c r="F43" s="38"/>
      <c r="G43" s="38"/>
      <c r="H43" s="38"/>
    </row>
    <row r="44" customFormat="false" ht="23.25" hidden="false" customHeight="true" outlineLevel="0" collapsed="false">
      <c r="A44" s="10" t="s">
        <v>1001</v>
      </c>
      <c r="B44" s="10" t="s">
        <v>1002</v>
      </c>
      <c r="C44" s="10" t="s">
        <v>1003</v>
      </c>
      <c r="D44" s="10" t="s">
        <v>993</v>
      </c>
      <c r="E44" s="10" t="s">
        <v>994</v>
      </c>
      <c r="F44" s="10" t="s">
        <v>995</v>
      </c>
      <c r="G44" s="10" t="s">
        <v>1004</v>
      </c>
    </row>
    <row r="45" customFormat="false" ht="45" hidden="false" customHeight="true" outlineLevel="0" collapsed="false">
      <c r="A45" s="50" t="n">
        <v>1</v>
      </c>
      <c r="B45" s="51" t="s">
        <v>636</v>
      </c>
      <c r="C45" s="52" t="n">
        <f aca="false">G41</f>
        <v>35</v>
      </c>
      <c r="D45" s="53" t="n">
        <f aca="false">G38</f>
        <v>12</v>
      </c>
      <c r="E45" s="53" t="n">
        <f aca="false">G39</f>
        <v>17</v>
      </c>
      <c r="F45" s="53" t="n">
        <f aca="false">G40</f>
        <v>6</v>
      </c>
      <c r="G45" s="54" t="s">
        <v>1005</v>
      </c>
    </row>
    <row r="46" customFormat="false" ht="45" hidden="false" customHeight="true" outlineLevel="0" collapsed="false">
      <c r="A46" s="55" t="n">
        <v>2</v>
      </c>
      <c r="B46" s="56" t="s">
        <v>633</v>
      </c>
      <c r="C46" s="52" t="n">
        <f aca="false">F41</f>
        <v>34</v>
      </c>
      <c r="D46" s="53" t="n">
        <f aca="false">F38</f>
        <v>10</v>
      </c>
      <c r="E46" s="53" t="n">
        <f aca="false">F39</f>
        <v>18</v>
      </c>
      <c r="F46" s="53" t="n">
        <f aca="false">F40</f>
        <v>6</v>
      </c>
      <c r="G46" s="54" t="s">
        <v>1006</v>
      </c>
    </row>
    <row r="47" customFormat="false" ht="45" hidden="false" customHeight="true" outlineLevel="0" collapsed="false">
      <c r="A47" s="55" t="n">
        <v>3</v>
      </c>
      <c r="B47" s="57" t="s">
        <v>630</v>
      </c>
      <c r="C47" s="52" t="n">
        <f aca="false">E41</f>
        <v>33</v>
      </c>
      <c r="D47" s="53" t="n">
        <f aca="false">E38</f>
        <v>15</v>
      </c>
      <c r="E47" s="53" t="n">
        <f aca="false">E39</f>
        <v>13</v>
      </c>
      <c r="F47" s="53" t="n">
        <f aca="false">E40</f>
        <v>5</v>
      </c>
      <c r="G47" s="54" t="s">
        <v>1007</v>
      </c>
    </row>
    <row r="48" customFormat="false" ht="45" hidden="false" customHeight="true" outlineLevel="0" collapsed="false">
      <c r="A48" s="55" t="n">
        <v>4</v>
      </c>
      <c r="B48" s="58" t="s">
        <v>627</v>
      </c>
      <c r="C48" s="52" t="n">
        <f aca="false">D41</f>
        <v>32</v>
      </c>
      <c r="D48" s="53" t="n">
        <f aca="false">D38</f>
        <v>10</v>
      </c>
      <c r="E48" s="53" t="n">
        <f aca="false">D39</f>
        <v>15</v>
      </c>
      <c r="F48" s="53" t="n">
        <f aca="false">D40</f>
        <v>7</v>
      </c>
      <c r="G48" s="54" t="s">
        <v>1008</v>
      </c>
    </row>
    <row r="49" customFormat="false" ht="45" hidden="false" customHeight="true" outlineLevel="0" collapsed="false">
      <c r="A49" s="59" t="n">
        <v>5</v>
      </c>
      <c r="B49" s="60" t="s">
        <v>620</v>
      </c>
      <c r="C49" s="52" t="n">
        <f aca="false">C41</f>
        <v>31</v>
      </c>
      <c r="D49" s="53" t="n">
        <f aca="false">C38</f>
        <v>13</v>
      </c>
      <c r="E49" s="53" t="n">
        <f aca="false">C39</f>
        <v>12</v>
      </c>
      <c r="F49" s="53" t="n">
        <f aca="false">C40</f>
        <v>6</v>
      </c>
      <c r="G49" s="54" t="s">
        <v>1009</v>
      </c>
    </row>
    <row r="51" customFormat="false" ht="15" hidden="false" customHeight="true" outlineLevel="0" collapsed="false">
      <c r="A51" s="38" t="s">
        <v>1010</v>
      </c>
      <c r="B51" s="38"/>
      <c r="C51" s="38"/>
      <c r="D51" s="38"/>
      <c r="E51" s="38"/>
      <c r="F51" s="38"/>
      <c r="G51" s="38"/>
      <c r="H51" s="38"/>
    </row>
    <row r="52" customFormat="false" ht="34.5" hidden="false" customHeight="true" outlineLevel="0" collapsed="false">
      <c r="A52" s="10" t="s">
        <v>1001</v>
      </c>
      <c r="B52" s="10" t="s">
        <v>617</v>
      </c>
      <c r="C52" s="10" t="s">
        <v>1011</v>
      </c>
      <c r="D52" s="10" t="s">
        <v>1012</v>
      </c>
    </row>
    <row r="53" customFormat="false" ht="39.75" hidden="false" customHeight="true" outlineLevel="0" collapsed="false">
      <c r="A53" s="50" t="n">
        <v>1</v>
      </c>
      <c r="B53" s="57" t="s">
        <v>630</v>
      </c>
      <c r="C53" s="52" t="n">
        <v>27</v>
      </c>
      <c r="D53" s="54" t="s">
        <v>1013</v>
      </c>
      <c r="E53" s="54"/>
      <c r="F53" s="54"/>
      <c r="G53" s="54"/>
      <c r="H53" s="54"/>
    </row>
    <row r="54" customFormat="false" ht="39.75" hidden="false" customHeight="true" outlineLevel="0" collapsed="false">
      <c r="A54" s="55" t="n">
        <v>2</v>
      </c>
      <c r="B54" s="56" t="s">
        <v>633</v>
      </c>
      <c r="C54" s="52" t="n">
        <v>26</v>
      </c>
      <c r="D54" s="54" t="s">
        <v>1014</v>
      </c>
      <c r="E54" s="54"/>
      <c r="F54" s="54"/>
      <c r="G54" s="54"/>
      <c r="H54" s="54"/>
    </row>
    <row r="55" customFormat="false" ht="39.75" hidden="false" customHeight="true" outlineLevel="0" collapsed="false">
      <c r="A55" s="55" t="n">
        <v>3</v>
      </c>
      <c r="B55" s="60" t="s">
        <v>620</v>
      </c>
      <c r="C55" s="52" t="n">
        <v>24</v>
      </c>
      <c r="D55" s="54" t="s">
        <v>1015</v>
      </c>
      <c r="E55" s="54"/>
      <c r="F55" s="54"/>
      <c r="G55" s="54"/>
      <c r="H55" s="54"/>
    </row>
    <row r="56" customFormat="false" ht="39.75" hidden="false" customHeight="true" outlineLevel="0" collapsed="false">
      <c r="A56" s="59" t="n">
        <v>4</v>
      </c>
      <c r="B56" s="58" t="s">
        <v>627</v>
      </c>
      <c r="C56" s="52" t="n">
        <v>23</v>
      </c>
      <c r="D56" s="54" t="s">
        <v>1016</v>
      </c>
      <c r="E56" s="54"/>
      <c r="F56" s="54"/>
      <c r="G56" s="54"/>
      <c r="H56" s="54"/>
    </row>
    <row r="58" customFormat="false" ht="15" hidden="false" customHeight="true" outlineLevel="0" collapsed="false">
      <c r="A58" s="38" t="s">
        <v>1017</v>
      </c>
      <c r="B58" s="38"/>
      <c r="C58" s="38"/>
      <c r="D58" s="38"/>
      <c r="E58" s="38"/>
      <c r="F58" s="38"/>
      <c r="G58" s="38"/>
      <c r="H58" s="38"/>
    </row>
    <row r="59" customFormat="false" ht="23.25" hidden="false" customHeight="true" outlineLevel="0" collapsed="false">
      <c r="A59" s="39" t="s">
        <v>1018</v>
      </c>
      <c r="B59" s="39"/>
      <c r="C59" s="39"/>
      <c r="D59" s="39"/>
      <c r="E59" s="39"/>
      <c r="F59" s="39"/>
      <c r="G59" s="39"/>
      <c r="H59" s="39"/>
    </row>
    <row r="60" customFormat="false" ht="23.25" hidden="false" customHeight="true" outlineLevel="0" collapsed="false">
      <c r="A60" s="39" t="s">
        <v>1019</v>
      </c>
      <c r="B60" s="39"/>
      <c r="C60" s="39"/>
      <c r="D60" s="39"/>
      <c r="E60" s="39"/>
      <c r="F60" s="39"/>
      <c r="G60" s="39"/>
      <c r="H60" s="39"/>
    </row>
    <row r="61" customFormat="false" ht="23.25" hidden="false" customHeight="true" outlineLevel="0" collapsed="false">
      <c r="A61" s="39" t="s">
        <v>1020</v>
      </c>
      <c r="B61" s="39"/>
      <c r="C61" s="39"/>
      <c r="D61" s="39"/>
      <c r="E61" s="39"/>
      <c r="F61" s="39"/>
      <c r="G61" s="39"/>
      <c r="H61" s="39"/>
    </row>
    <row r="62" customFormat="false" ht="23.25" hidden="false" customHeight="true" outlineLevel="0" collapsed="false">
      <c r="A62" s="39" t="s">
        <v>1021</v>
      </c>
      <c r="B62" s="39"/>
      <c r="C62" s="39"/>
      <c r="D62" s="39"/>
      <c r="E62" s="39"/>
      <c r="F62" s="39"/>
      <c r="G62" s="39"/>
      <c r="H62" s="39"/>
    </row>
    <row r="63" customFormat="false" ht="15" hidden="false" customHeight="true" outlineLevel="0" collapsed="false">
      <c r="A63" s="39" t="s">
        <v>1022</v>
      </c>
      <c r="B63" s="39"/>
      <c r="C63" s="39"/>
      <c r="D63" s="39"/>
      <c r="E63" s="39"/>
      <c r="F63" s="39"/>
      <c r="G63" s="39"/>
      <c r="H63" s="39"/>
    </row>
  </sheetData>
  <mergeCells count="22">
    <mergeCell ref="A1:H1"/>
    <mergeCell ref="A2:H2"/>
    <mergeCell ref="A4:H4"/>
    <mergeCell ref="A5:H5"/>
    <mergeCell ref="A6:H6"/>
    <mergeCell ref="A7:H7"/>
    <mergeCell ref="A8:H8"/>
    <mergeCell ref="A9:H9"/>
    <mergeCell ref="A11:H11"/>
    <mergeCell ref="A25:H25"/>
    <mergeCell ref="A43:H43"/>
    <mergeCell ref="A51:H51"/>
    <mergeCell ref="D53:H53"/>
    <mergeCell ref="D54:H54"/>
    <mergeCell ref="D55:H55"/>
    <mergeCell ref="D56:H56"/>
    <mergeCell ref="A58:H58"/>
    <mergeCell ref="A59:H59"/>
    <mergeCell ref="A60:H60"/>
    <mergeCell ref="A61:H61"/>
    <mergeCell ref="A62:H62"/>
    <mergeCell ref="A63:H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2026-07-09T05:40:14Z</dcterms:created>
  <dc:creator>openpyxl</dc:creator>
  <dc:description/>
  <dc:language>en-US</dc:language>
  <cp:lastModifiedBy/>
  <dcterms:modified xsi:type="dcterms:W3CDTF">2026-07-09T09:15:40Z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