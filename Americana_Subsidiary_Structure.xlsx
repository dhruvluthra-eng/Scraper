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Holding Companies" sheetId="2" state="visible" r:id="rId4"/>
    <sheet name="Operating Subsidiaries" sheetId="3" state="visible" r:id="rId5"/>
    <sheet name="Summary by Country" sheetId="4" state="visible" r:id="rId6"/>
    <sheet name="Summary by Region" sheetId="5" state="visible" r:id="rId7"/>
    <sheet name="Ownership Map" sheetId="6" state="visible" r:id="rId8"/>
    <sheet name="Source No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<sst xmlns="http://schemas.openxmlformats.org/spreadsheetml/2006/main" count="437" uniqueCount="245">
  <si>
    <t xml:space="preserve">Americana Restaurants International PLC — Subsidiary Structure</t>
  </si>
  <si>
    <t xml:space="preserve">Source</t>
  </si>
  <si>
    <t xml:space="preserve">FY25 Annual Report — Note 29 (Subsidiaries), printed pages 220-223</t>
  </si>
  <si>
    <t xml:space="preserve">As at</t>
  </si>
  <si>
    <t xml:space="preserve">31 December 2025</t>
  </si>
  <si>
    <t xml:space="preserve">Compiled</t>
  </si>
  <si>
    <t xml:space="preserve">May 2026 — Coverage initiation</t>
  </si>
  <si>
    <t xml:space="preserve">Group structure summary</t>
  </si>
  <si>
    <t xml:space="preserve">Parent entity</t>
  </si>
  <si>
    <t xml:space="preserve">Americana Restaurants International PLC (ADGM-incorporated)</t>
  </si>
  <si>
    <t xml:space="preserve">Listings</t>
  </si>
  <si>
    <t xml:space="preserve">ADX:AMR · Tadawul:6015 (fully fungible)</t>
  </si>
  <si>
    <t xml:space="preserve">Shares outstanding</t>
  </si>
  <si>
    <t xml:space="preserve">8,423,633,100 (8.42 bn)</t>
  </si>
  <si>
    <t xml:space="preserve">Market cap</t>
  </si>
  <si>
    <t xml:space="preserve">~$14 bn (FY25 year-end)</t>
  </si>
  <si>
    <t xml:space="preserve">Adeptio ownership</t>
  </si>
  <si>
    <t xml:space="preserve">66.03% (held 50/50 by Mohamed Alabbar + Saudi PIF)</t>
  </si>
  <si>
    <t xml:space="preserve">Free float</t>
  </si>
  <si>
    <t xml:space="preserve">33.97%</t>
  </si>
  <si>
    <t xml:space="preserve">UAE holding companies</t>
  </si>
  <si>
    <t xml:space="preserve">7 (all paperwork only, no operations)</t>
  </si>
  <si>
    <t xml:space="preserve">Operating subsidiaries</t>
  </si>
  <si>
    <t xml:space="preserve">21 across 12 countries</t>
  </si>
  <si>
    <t xml:space="preserve">Admin/tech entity</t>
  </si>
  <si>
    <t xml:space="preserve">1 (India — G&amp;A offshoring centre)</t>
  </si>
  <si>
    <t xml:space="preserve">Total legal entities</t>
  </si>
  <si>
    <t xml:space="preserve">29 (1 PLC + 7 holdings + 21 operating + 1 tech)</t>
  </si>
  <si>
    <t xml:space="preserve">Countries of operation</t>
  </si>
  <si>
    <t xml:space="preserve">12 (KSA, UAE, KW, EG, KZ, QA, OM, BH, JO, MA, IQ, LB)</t>
  </si>
  <si>
    <t xml:space="preserve">Workbook contents</t>
  </si>
  <si>
    <t xml:space="preserve">Cover</t>
  </si>
  <si>
    <t xml:space="preserve">This sheet — summary stats and methodology</t>
  </si>
  <si>
    <t xml:space="preserve">Holding Companies</t>
  </si>
  <si>
    <t xml:space="preserve">7 UAE holding companies (Layer 2 of structure)</t>
  </si>
  <si>
    <t xml:space="preserve">Operating Subsidiaries</t>
  </si>
  <si>
    <t xml:space="preserve">All 21 operating entities + 1 admin entity by country (Layer 3)</t>
  </si>
  <si>
    <t xml:space="preserve">Summary by Country</t>
  </si>
  <si>
    <t xml:space="preserve">Pivot: entity count by country, with revenue &amp; store overlay</t>
  </si>
  <si>
    <t xml:space="preserve">Summary by Region</t>
  </si>
  <si>
    <t xml:space="preserve">Pivot: entity count, revenue %, store % by region segment</t>
  </si>
  <si>
    <t xml:space="preserve">Ownership Map</t>
  </si>
  <si>
    <t xml:space="preserve">Cap-table-style breakdown of consolidated vs minority-held entities</t>
  </si>
  <si>
    <t xml:space="preserve">Source Notes</t>
  </si>
  <si>
    <t xml:space="preserve">Page-by-page references in the FY25 AR</t>
  </si>
  <si>
    <t xml:space="preserve">Color coding &amp; legend</t>
  </si>
  <si>
    <t xml:space="preserve">Blue text</t>
  </si>
  <si>
    <t xml:space="preserve">Hardcoded input data from source documents (no formula)</t>
  </si>
  <si>
    <t xml:space="preserve">Black text</t>
  </si>
  <si>
    <t xml:space="preserve">Formula-driven (calculated)</t>
  </si>
  <si>
    <t xml:space="preserve">Green % font</t>
  </si>
  <si>
    <t xml:space="preserve">100% wholly-owned subsidiary</t>
  </si>
  <si>
    <t xml:space="preserve">Orange % font</t>
  </si>
  <si>
    <t xml:space="preserve">Partial ownership 50-99% (some local minority)</t>
  </si>
  <si>
    <t xml:space="preserve">Red % font</t>
  </si>
  <si>
    <t xml:space="preserve">&lt;50% ownership (significant minority interest)</t>
  </si>
  <si>
    <t xml:space="preserve">Region cell tints</t>
  </si>
  <si>
    <t xml:space="preserve">Pink=Major GCC · Light blue=Lower Gulf · Lavender=N. Africa · Light yellow=Others · Grey=Tech/Admin</t>
  </si>
  <si>
    <t xml:space="preserve">7 UAE Holding Companies (Layer 2 of group structure)</t>
  </si>
  <si>
    <t xml:space="preserve">All UAE-incorporated · No operations · Holding vehicles for operating subsidiaries</t>
  </si>
  <si>
    <t xml:space="preserve">#</t>
  </si>
  <si>
    <t xml:space="preserve">Entity name</t>
  </si>
  <si>
    <t xml:space="preserve">Place of incorporation</t>
  </si>
  <si>
    <t xml:space="preserve">Activity</t>
  </si>
  <si>
    <t xml:space="preserve">FY25 ownership</t>
  </si>
  <si>
    <t xml:space="preserve">FY24 ownership</t>
  </si>
  <si>
    <t xml:space="preserve">Function</t>
  </si>
  <si>
    <t xml:space="preserve">Americana Restaurants Investments Group Company LLC</t>
  </si>
  <si>
    <t xml:space="preserve">United Arab Emirates</t>
  </si>
  <si>
    <t xml:space="preserve">Holding Company</t>
  </si>
  <si>
    <t xml:space="preserve">100%</t>
  </si>
  <si>
    <t xml:space="preserve">Top intermediary holding</t>
  </si>
  <si>
    <t xml:space="preserve">Americana Holding for UAE Restaurants LTD</t>
  </si>
  <si>
    <t xml:space="preserve">Holds UAE OpCo(s)</t>
  </si>
  <si>
    <t xml:space="preserve">Americana Holding for Egyptian Restaurants LTD</t>
  </si>
  <si>
    <t xml:space="preserve">Holds Egypt OpCos</t>
  </si>
  <si>
    <t xml:space="preserve">Americana Company for Restaurants Holding LTD</t>
  </si>
  <si>
    <t xml:space="preserve">General holding</t>
  </si>
  <si>
    <t xml:space="preserve">Americana Holding for KSA Restaurants LTD</t>
  </si>
  <si>
    <t xml:space="preserve">Holds KSA OpCos (Al Ahlia)</t>
  </si>
  <si>
    <t xml:space="preserve">Americana Holding for Restaurants LTD</t>
  </si>
  <si>
    <t xml:space="preserve">Americana Prime Investments Limited</t>
  </si>
  <si>
    <t xml:space="preserve">Others</t>
  </si>
  <si>
    <t xml:space="preserve">Investment vehicle</t>
  </si>
  <si>
    <t xml:space="preserve">Source: FY25 AR Note 29, printed page 220</t>
  </si>
  <si>
    <t xml:space="preserve">Operating subsidiaries — by country (FY25 AR Note 29)</t>
  </si>
  <si>
    <t xml:space="preserve">Source: FY25 AR Note 29 — Subsidiaries · 21 operating entities + 1 admin entity across 12 countries + India</t>
  </si>
  <si>
    <t xml:space="preserve">Region</t>
  </si>
  <si>
    <t xml:space="preserve">Country</t>
  </si>
  <si>
    <t xml:space="preserve">FY25 Ownership</t>
  </si>
  <si>
    <t xml:space="preserve">FY24 Ownership</t>
  </si>
  <si>
    <t xml:space="preserve">Notes</t>
  </si>
  <si>
    <t xml:space="preserve">Major GCC</t>
  </si>
  <si>
    <t xml:space="preserve">Saudi Arabia</t>
  </si>
  <si>
    <t xml:space="preserve">Al Ahlia Restaurants Co. One Person Co. LLC</t>
  </si>
  <si>
    <t xml:space="preserve">Restaurants</t>
  </si>
  <si>
    <t xml:space="preserve">Operates KFC/Hardee's/Pizza Hut/Krispy Kreme in KSA</t>
  </si>
  <si>
    <t xml:space="preserve">United Food Company (One Person Company) LLC</t>
  </si>
  <si>
    <t xml:space="preserve">Other</t>
  </si>
  <si>
    <t xml:space="preserve">Sub-OpCo within KSA group</t>
  </si>
  <si>
    <t xml:space="preserve">UAE</t>
  </si>
  <si>
    <t xml:space="preserve">Kuwait Food Co. Americana LLC</t>
  </si>
  <si>
    <t xml:space="preserve">Legacy name — operates UAE QSR network</t>
  </si>
  <si>
    <t xml:space="preserve">The International Co. for World Restaurants Limited</t>
  </si>
  <si>
    <t xml:space="preserve">25% local minority interest</t>
  </si>
  <si>
    <t xml:space="preserve">Kuwait</t>
  </si>
  <si>
    <t xml:space="preserve">Americana Kuwait Company for Restaurants WLL</t>
  </si>
  <si>
    <t xml:space="preserve">Founding entity — established 1964</t>
  </si>
  <si>
    <t xml:space="preserve">Lower Gulf</t>
  </si>
  <si>
    <t xml:space="preserve">Qatar</t>
  </si>
  <si>
    <t xml:space="preserve">Qataria Food Company WLL</t>
  </si>
  <si>
    <t xml:space="preserve">Ras Bu abboud Trading Company WLL</t>
  </si>
  <si>
    <t xml:space="preserve">1% local partner</t>
  </si>
  <si>
    <t xml:space="preserve">Oman</t>
  </si>
  <si>
    <t xml:space="preserve">International Tourism Restaurants Company LLC</t>
  </si>
  <si>
    <t xml:space="preserve">Pre-existing Oman OpCo</t>
  </si>
  <si>
    <t xml:space="preserve">Fast Food &amp; Restaurants Company SPC</t>
  </si>
  <si>
    <t xml:space="preserve">n/a (new)</t>
  </si>
  <si>
    <t xml:space="preserve">Acquired Jan 2025 (formerly Khimji International LLC) — Pizza Hut Oman</t>
  </si>
  <si>
    <t xml:space="preserve">Bahrain</t>
  </si>
  <si>
    <t xml:space="preserve">Gulf &amp; Arab World Restaurant Co. WLL</t>
  </si>
  <si>
    <t xml:space="preserve">6% local partner</t>
  </si>
  <si>
    <t xml:space="preserve">Bahrain &amp; Kuwait Restaurants Co. WLL</t>
  </si>
  <si>
    <t xml:space="preserve">Significant minority — board control via contract</t>
  </si>
  <si>
    <t xml:space="preserve">North Africa</t>
  </si>
  <si>
    <t xml:space="preserve">Egypt</t>
  </si>
  <si>
    <t xml:space="preserve">Egyptian Co. for International Touristic Projects SAE</t>
  </si>
  <si>
    <t xml:space="preserve">Main Egypt OpCo</t>
  </si>
  <si>
    <t xml:space="preserve">Egyptian International Co. for Food Industries SAE</t>
  </si>
  <si>
    <t xml:space="preserve">Sub-OpCo (manufacturing / supply)</t>
  </si>
  <si>
    <t xml:space="preserve">Morocco</t>
  </si>
  <si>
    <t xml:space="preserve">Société Marocaine De Projects Touristiques SARL</t>
  </si>
  <si>
    <t xml:space="preserve">Iraq (Kurdistan)</t>
  </si>
  <si>
    <t xml:space="preserve">Almusharaka for Touristic Restaurants Services Ltd.</t>
  </si>
  <si>
    <t xml:space="preserve">+10% acquired in 2025 (was 90% in FY24)</t>
  </si>
  <si>
    <t xml:space="preserve">A F K American Food Kurdistan</t>
  </si>
  <si>
    <t xml:space="preserve">Jordan</t>
  </si>
  <si>
    <t xml:space="preserve">Touristic Projects &amp; Intl Restaurants Co. (Americana) LLC</t>
  </si>
  <si>
    <t xml:space="preserve">~33% local partners (Jordanian Companies Law)</t>
  </si>
  <si>
    <t xml:space="preserve">Jordanian Restaurants Co. for Fast Food LLC</t>
  </si>
  <si>
    <t xml:space="preserve">Kazakhstan</t>
  </si>
  <si>
    <t xml:space="preserve">The Caspian International Restaurants Co. LLP</t>
  </si>
  <si>
    <t xml:space="preserve">Largest non-MENA market</t>
  </si>
  <si>
    <t xml:space="preserve">Lebanon</t>
  </si>
  <si>
    <t xml:space="preserve">Lebanese International Touristic Projects Co. LLC</t>
  </si>
  <si>
    <t xml:space="preserve">Hyperinflation accounted (IAS 29)</t>
  </si>
  <si>
    <t xml:space="preserve">Tech/Admin</t>
  </si>
  <si>
    <t xml:space="preserve">India</t>
  </si>
  <si>
    <t xml:space="preserve">Americana Restaurants (India) Private Limited</t>
  </si>
  <si>
    <t xml:space="preserve">G&amp;A offshoring centre — no commercial operations</t>
  </si>
  <si>
    <t xml:space="preserve">TOTAL</t>
  </si>
  <si>
    <t xml:space="preserve">Source: FY25 AR Note 29 — Subsidiaries, printed pages 220-223</t>
  </si>
  <si>
    <t xml:space="preserve">Summary by country — entity count + revenue + store overlay</t>
  </si>
  <si>
    <t xml:space="preserve">Entity count</t>
  </si>
  <si>
    <t xml:space="preserve">Stores (FY25)</t>
  </si>
  <si>
    <t xml:space="preserve">Revenue ($m)</t>
  </si>
  <si>
    <t xml:space="preserve">% of group rev</t>
  </si>
  <si>
    <t xml:space="preserve">Minority interests?</t>
  </si>
  <si>
    <t xml:space="preserve">No</t>
  </si>
  <si>
    <t xml:space="preserve">Yes (one entity at 75%)</t>
  </si>
  <si>
    <t xml:space="preserve">Yes (one entity at 99%)</t>
  </si>
  <si>
    <t xml:space="preserve">Yes (94% and 40%)</t>
  </si>
  <si>
    <t xml:space="preserve">Yes (99.9%)</t>
  </si>
  <si>
    <t xml:space="preserve">No (FY25; was 90% in FY24)</t>
  </si>
  <si>
    <t xml:space="preserve">Yes (both at 67.44%)</t>
  </si>
  <si>
    <t xml:space="preserve">No (no operations)</t>
  </si>
  <si>
    <t xml:space="preserve">Sources: Entity count from FY25 AR Note 29 · Stores &amp; revenue from FY25 AR p.20 / 4Q25 deck slide 28 · Revenue for non-top-4 countries estimated</t>
  </si>
  <si>
    <t xml:space="preserve">Summary by region — 4 reportable segments + tech entity</t>
  </si>
  <si>
    <t xml:space="preserve">Countries</t>
  </si>
  <si>
    <t xml:space="preserve">Stores</t>
  </si>
  <si>
    <t xml:space="preserve">KSA + UAE + Kuwait</t>
  </si>
  <si>
    <t xml:space="preserve">Qatar + Oman + Bahrain</t>
  </si>
  <si>
    <t xml:space="preserve">Egypt + Morocco</t>
  </si>
  <si>
    <t xml:space="preserve">Iraq + Jordan + Kazakhstan + Lebanon</t>
  </si>
  <si>
    <t xml:space="preserve">India (no operations)</t>
  </si>
  <si>
    <t xml:space="preserve">Source: FY25 AR Note 5 (Operating Segments) — Major GCC, Lower Gulf, North Africa, Others. India tech entity is not part of reportable segments.</t>
  </si>
  <si>
    <t xml:space="preserve">Ownership map — wholly owned vs partial ownership</t>
  </si>
  <si>
    <t xml:space="preserve">Highlights which entities have minority interests — relevant for consolidation, segment profitability, and tax.</t>
  </si>
  <si>
    <t xml:space="preserve">A. WHOLLY OWNED ENTITIES (100% ownership)</t>
  </si>
  <si>
    <t xml:space="preserve">Ownership</t>
  </si>
  <si>
    <t xml:space="preserve">Operates KFC/Hardee's/Pizza Hut/Krispy Kreme</t>
  </si>
  <si>
    <t xml:space="preserve">United Food Company (One Person Co.) LLC</t>
  </si>
  <si>
    <t xml:space="preserve">Sub-OpCo</t>
  </si>
  <si>
    <t xml:space="preserve">UAE OpCo</t>
  </si>
  <si>
    <t xml:space="preserve">Founding entity 1964</t>
  </si>
  <si>
    <t xml:space="preserve">Pizza Hut Oman acq 2025</t>
  </si>
  <si>
    <t xml:space="preserve">Manufacturing/supply sub</t>
  </si>
  <si>
    <t xml:space="preserve">+10% in 2025</t>
  </si>
  <si>
    <t xml:space="preserve">Largest non-MENA</t>
  </si>
  <si>
    <t xml:space="preserve">IAS 29 hyperinflation</t>
  </si>
  <si>
    <t xml:space="preserve">G&amp;A centre</t>
  </si>
  <si>
    <t xml:space="preserve">B. PARTIAL OWNERSHIP (&lt; 100%) — minority interests exist</t>
  </si>
  <si>
    <t xml:space="preserve">AMR ownership</t>
  </si>
  <si>
    <t xml:space="preserve">Minority share + notes</t>
  </si>
  <si>
    <t xml:space="preserve">25% local partner</t>
  </si>
  <si>
    <t xml:space="preserve">60% minority — board control via contract; consolidated</t>
  </si>
  <si>
    <t xml:space="preserve">0.1% rounding / nominal local share</t>
  </si>
  <si>
    <t xml:space="preserve">32.56% local partner — Jordanian Companies Law requirement</t>
  </si>
  <si>
    <t xml:space="preserve">32.56% local partner — Jordanian Companies Law</t>
  </si>
  <si>
    <t xml:space="preserve">Source: FY25 AR Note 29 (Subsidiaries) + Note 16 (Non-controlling interests)</t>
  </si>
  <si>
    <t xml:space="preserve">Source notes — page-by-page references in FY25 Annual Report</t>
  </si>
  <si>
    <t xml:space="preserve">AR Note</t>
  </si>
  <si>
    <t xml:space="preserve">What it covers</t>
  </si>
  <si>
    <t xml:space="preserve">PDF page / Printed pp</t>
  </si>
  <si>
    <t xml:space="preserve">Relevance for this workbook</t>
  </si>
  <si>
    <t xml:space="preserve">Note 1</t>
  </si>
  <si>
    <t xml:space="preserve">Corporate Information — entity description, legal form</t>
  </si>
  <si>
    <t xml:space="preserve">PDF p.92 / Printed p.180</t>
  </si>
  <si>
    <t xml:space="preserve">Confirms ADGM incorporation, listing details</t>
  </si>
  <si>
    <t xml:space="preserve">Note 5</t>
  </si>
  <si>
    <t xml:space="preserve">Operating Segments — revenue, profit, depreciation by region</t>
  </si>
  <si>
    <t xml:space="preserve">PDF p.97 / Printed p.190</t>
  </si>
  <si>
    <t xml:space="preserve">Source of region-level revenue used in Summary by Region tab</t>
  </si>
  <si>
    <t xml:space="preserve">Note 6</t>
  </si>
  <si>
    <t xml:space="preserve">Foreign currency translation — hyperinflation (Lebanon)</t>
  </si>
  <si>
    <t xml:space="preserve">PDF p.99 / Printed p.194</t>
  </si>
  <si>
    <t xml:space="preserve">Context for Lebanon IAS 29 treatment</t>
  </si>
  <si>
    <t xml:space="preserve">Note 8</t>
  </si>
  <si>
    <t xml:space="preserve">Property, Plant &amp; Equipment</t>
  </si>
  <si>
    <t xml:space="preserve">PDF p.100 / Printed p.196</t>
  </si>
  <si>
    <t xml:space="preserve">Cross-reference for tangible asset disclosure</t>
  </si>
  <si>
    <t xml:space="preserve">Note 11</t>
  </si>
  <si>
    <t xml:space="preserve">Leases — right-of-use assets + lease liabilities</t>
  </si>
  <si>
    <t xml:space="preserve">PDF p.104 / Printed p.204</t>
  </si>
  <si>
    <t xml:space="preserve">Cross-reference for store lease portfolio</t>
  </si>
  <si>
    <t xml:space="preserve">Note 16</t>
  </si>
  <si>
    <t xml:space="preserve">Non-controlling interests</t>
  </si>
  <si>
    <t xml:space="preserve">PDF p.107 / Printed p.210</t>
  </si>
  <si>
    <t xml:space="preserve">Quantifies minority interest holdings</t>
  </si>
  <si>
    <t xml:space="preserve">Note 28</t>
  </si>
  <si>
    <t xml:space="preserve">Income Tax and Zakat</t>
  </si>
  <si>
    <t xml:space="preserve">PDF p.111 / Printed p.221</t>
  </si>
  <si>
    <t xml:space="preserve">Tax expense by subsidiary including KSA zakat</t>
  </si>
  <si>
    <t xml:space="preserve">Note 29</t>
  </si>
  <si>
    <t xml:space="preserve">Subsidiaries (MAIN SOURCE FOR THIS WORKBOOK)</t>
  </si>
  <si>
    <t xml:space="preserve">PDF p.111-112 / Printed pp. 220-223</t>
  </si>
  <si>
    <t xml:space="preserve">Complete list of all 28 subsidiaries with ownership %</t>
  </si>
  <si>
    <t xml:space="preserve">Note 30</t>
  </si>
  <si>
    <t xml:space="preserve">Contingent Liabilities, Operating &amp; Capital Commitments</t>
  </si>
  <si>
    <t xml:space="preserve">PDF p.112 / Printed p.222</t>
  </si>
  <si>
    <t xml:space="preserve">Tax claims by subsidiary</t>
  </si>
  <si>
    <t xml:space="preserve">Note 36</t>
  </si>
  <si>
    <t xml:space="preserve">Acquisitions / Business Combinations</t>
  </si>
  <si>
    <t xml:space="preserve">PDF p.115 / Printed p.230</t>
  </si>
  <si>
    <t xml:space="preserve">Details on Pizza Hut Oman acquisition (Fast Food &amp; Restaurants Co. SPC)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</si>
</sst>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#,##0"/>
    <numFmt numFmtId="167" formatCode="0&quot; Restaurants&quot;"/>
    <numFmt numFmtId="168" formatCode="\$#,##0"/>
    <numFmt numFmtId="169" formatCode="0.0%"/>
    <numFmt numFmtId="170" formatCode="\$#,##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3FB95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6600"/>
      <name val="Arial"/>
      <family val="0"/>
      <charset val="1"/>
    </font>
    <font>
      <b val="true"/>
      <sz val="10"/>
      <color rgb="FFE106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DEEBF7"/>
      </patternFill>
    </fill>
    <fill>
      <patternFill patternType="solid">
        <fgColor rgb="FFF4F4F4"/>
        <bgColor rgb="FFEEEEEE"/>
      </patternFill>
    </fill>
    <fill>
      <patternFill patternType="solid">
        <fgColor rgb="FFFCE4D6"/>
        <bgColor rgb="FFFFF2CC"/>
      </patternFill>
    </fill>
    <fill>
      <patternFill patternType="solid">
        <fgColor rgb="FFDEEBF7"/>
        <bgColor rgb="FFD9E1F2"/>
      </patternFill>
    </fill>
    <fill>
      <patternFill patternType="solid">
        <fgColor rgb="FFE8DDF7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EEEEEE"/>
        <bgColor rgb="FFF4F4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106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F4F4F4"/>
      <rgbColor rgb="FFE8DDF7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FB9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5"/>
  </cols>
  <sheetData>
    <row r="1" customFormat="false" ht="25.5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7" customFormat="false" ht="25.5" hidden="false" customHeight="true" outlineLevel="0" collapsed="false">
      <c r="A7" s="4" t="s">
        <v>7</v>
      </c>
      <c r="B7" s="4"/>
    </row>
    <row r="8" customFormat="false" ht="19.5" hidden="false" customHeight="true" outlineLevel="0" collapsed="false">
      <c r="A8" s="5" t="s">
        <v>8</v>
      </c>
      <c r="B8" s="6" t="s">
        <v>9</v>
      </c>
    </row>
    <row r="9" customFormat="false" ht="19.5" hidden="false" customHeight="true" outlineLevel="0" collapsed="false">
      <c r="A9" s="5" t="s">
        <v>10</v>
      </c>
      <c r="B9" s="6" t="s">
        <v>11</v>
      </c>
    </row>
    <row r="10" customFormat="false" ht="19.5" hidden="false" customHeight="true" outlineLevel="0" collapsed="false">
      <c r="A10" s="5" t="s">
        <v>12</v>
      </c>
      <c r="B10" s="6" t="s">
        <v>13</v>
      </c>
    </row>
    <row r="11" customFormat="false" ht="19.5" hidden="false" customHeight="true" outlineLevel="0" collapsed="false">
      <c r="A11" s="5" t="s">
        <v>14</v>
      </c>
      <c r="B11" s="6" t="s">
        <v>15</v>
      </c>
    </row>
    <row r="12" customFormat="false" ht="19.5" hidden="false" customHeight="true" outlineLevel="0" collapsed="false">
      <c r="A12" s="5" t="s">
        <v>16</v>
      </c>
      <c r="B12" s="6" t="s">
        <v>17</v>
      </c>
    </row>
    <row r="13" customFormat="false" ht="19.5" hidden="false" customHeight="true" outlineLevel="0" collapsed="false">
      <c r="A13" s="5" t="s">
        <v>18</v>
      </c>
      <c r="B13" s="6" t="s">
        <v>19</v>
      </c>
    </row>
    <row r="14" customFormat="false" ht="19.5" hidden="false" customHeight="true" outlineLevel="0" collapsed="false">
      <c r="A14" s="5" t="s">
        <v>20</v>
      </c>
      <c r="B14" s="6" t="s">
        <v>21</v>
      </c>
    </row>
    <row r="15" customFormat="false" ht="19.5" hidden="false" customHeight="true" outlineLevel="0" collapsed="false">
      <c r="A15" s="5" t="s">
        <v>22</v>
      </c>
      <c r="B15" s="6" t="s">
        <v>23</v>
      </c>
    </row>
    <row r="16" customFormat="false" ht="19.5" hidden="false" customHeight="true" outlineLevel="0" collapsed="false">
      <c r="A16" s="5" t="s">
        <v>24</v>
      </c>
      <c r="B16" s="6" t="s">
        <v>25</v>
      </c>
    </row>
    <row r="17" customFormat="false" ht="19.5" hidden="false" customHeight="true" outlineLevel="0" collapsed="false">
      <c r="A17" s="5" t="s">
        <v>26</v>
      </c>
      <c r="B17" s="6" t="s">
        <v>27</v>
      </c>
    </row>
    <row r="18" customFormat="false" ht="19.5" hidden="false" customHeight="true" outlineLevel="0" collapsed="false">
      <c r="A18" s="5" t="s">
        <v>28</v>
      </c>
      <c r="B18" s="6" t="s">
        <v>29</v>
      </c>
    </row>
    <row r="20" customFormat="false" ht="25.5" hidden="false" customHeight="true" outlineLevel="0" collapsed="false">
      <c r="A20" s="4" t="s">
        <v>30</v>
      </c>
      <c r="B20" s="4"/>
    </row>
    <row r="21" customFormat="false" ht="19.5" hidden="false" customHeight="true" outlineLevel="0" collapsed="false">
      <c r="A21" s="5" t="s">
        <v>31</v>
      </c>
      <c r="B21" s="6" t="s">
        <v>32</v>
      </c>
    </row>
    <row r="22" customFormat="false" ht="19.5" hidden="false" customHeight="true" outlineLevel="0" collapsed="false">
      <c r="A22" s="5" t="s">
        <v>33</v>
      </c>
      <c r="B22" s="6" t="s">
        <v>34</v>
      </c>
    </row>
    <row r="23" customFormat="false" ht="19.5" hidden="false" customHeight="true" outlineLevel="0" collapsed="false">
      <c r="A23" s="5" t="s">
        <v>35</v>
      </c>
      <c r="B23" s="6" t="s">
        <v>36</v>
      </c>
    </row>
    <row r="24" customFormat="false" ht="19.5" hidden="false" customHeight="true" outlineLevel="0" collapsed="false">
      <c r="A24" s="5" t="s">
        <v>37</v>
      </c>
      <c r="B24" s="6" t="s">
        <v>38</v>
      </c>
    </row>
    <row r="25" customFormat="false" ht="19.5" hidden="false" customHeight="true" outlineLevel="0" collapsed="false">
      <c r="A25" s="5" t="s">
        <v>39</v>
      </c>
      <c r="B25" s="6" t="s">
        <v>40</v>
      </c>
    </row>
    <row r="26" customFormat="false" ht="19.5" hidden="false" customHeight="true" outlineLevel="0" collapsed="false">
      <c r="A26" s="5" t="s">
        <v>41</v>
      </c>
      <c r="B26" s="6" t="s">
        <v>42</v>
      </c>
    </row>
    <row r="27" customFormat="false" ht="19.5" hidden="false" customHeight="true" outlineLevel="0" collapsed="false">
      <c r="A27" s="5" t="s">
        <v>43</v>
      </c>
      <c r="B27" s="6" t="s">
        <v>44</v>
      </c>
    </row>
    <row r="30" customFormat="false" ht="25.5" hidden="false" customHeight="true" outlineLevel="0" collapsed="false">
      <c r="A30" s="4" t="s">
        <v>45</v>
      </c>
      <c r="B30" s="4"/>
    </row>
    <row r="31" customFormat="false" ht="19.5" hidden="false" customHeight="true" outlineLevel="0" collapsed="false">
      <c r="A31" s="5" t="s">
        <v>46</v>
      </c>
      <c r="B31" s="6" t="s">
        <v>47</v>
      </c>
    </row>
    <row r="32" customFormat="false" ht="19.5" hidden="false" customHeight="true" outlineLevel="0" collapsed="false">
      <c r="A32" s="5" t="s">
        <v>48</v>
      </c>
      <c r="B32" s="6" t="s">
        <v>49</v>
      </c>
    </row>
    <row r="33" customFormat="false" ht="19.5" hidden="false" customHeight="true" outlineLevel="0" collapsed="false">
      <c r="A33" s="5" t="s">
        <v>50</v>
      </c>
      <c r="B33" s="6" t="s">
        <v>51</v>
      </c>
    </row>
    <row r="34" customFormat="false" ht="19.5" hidden="false" customHeight="true" outlineLevel="0" collapsed="false">
      <c r="A34" s="5" t="s">
        <v>52</v>
      </c>
      <c r="B34" s="6" t="s">
        <v>53</v>
      </c>
    </row>
    <row r="35" customFormat="false" ht="19.5" hidden="false" customHeight="true" outlineLevel="0" collapsed="false">
      <c r="A35" s="5" t="s">
        <v>54</v>
      </c>
      <c r="B35" s="6" t="s">
        <v>55</v>
      </c>
    </row>
    <row r="36" customFormat="false" ht="19.5" hidden="false" customHeight="true" outlineLevel="0" collapsed="false">
      <c r="A36" s="5" t="s">
        <v>56</v>
      </c>
      <c r="B36" s="6" t="s">
        <v>57</v>
      </c>
    </row>
  </sheetData>
  <mergeCells count="4">
    <mergeCell ref="A1:B1"/>
    <mergeCell ref="A7:B7"/>
    <mergeCell ref="A20:B20"/>
    <mergeCell ref="A30:B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6" min="5" style="0" width="14"/>
    <col collapsed="false" customWidth="true" hidden="false" outlineLevel="0" max="7" min="7" style="0" width="35"/>
  </cols>
  <sheetData>
    <row r="1" customFormat="false" ht="25.5" hidden="false" customHeight="true" outlineLevel="0" collapsed="false">
      <c r="A1" s="1" t="s">
        <v>58</v>
      </c>
      <c r="B1" s="1"/>
      <c r="C1" s="1"/>
      <c r="D1" s="1"/>
      <c r="E1" s="1"/>
      <c r="F1" s="1"/>
      <c r="G1" s="1"/>
    </row>
    <row r="3" customFormat="false" ht="15" hidden="false" customHeight="true" outlineLevel="0" collapsed="false">
      <c r="A3" s="7" t="s">
        <v>59</v>
      </c>
      <c r="B3" s="7"/>
      <c r="C3" s="7"/>
      <c r="D3" s="7"/>
      <c r="E3" s="7"/>
      <c r="F3" s="7"/>
      <c r="G3" s="7"/>
    </row>
    <row r="5" customFormat="false" ht="31.5" hidden="false" customHeight="true" outlineLevel="0" collapsed="false">
      <c r="A5" s="8" t="s">
        <v>60</v>
      </c>
      <c r="B5" s="8" t="s">
        <v>61</v>
      </c>
      <c r="C5" s="8" t="s">
        <v>62</v>
      </c>
      <c r="D5" s="8" t="s">
        <v>63</v>
      </c>
      <c r="E5" s="8" t="s">
        <v>64</v>
      </c>
      <c r="F5" s="8" t="s">
        <v>65</v>
      </c>
      <c r="G5" s="8" t="s">
        <v>66</v>
      </c>
    </row>
    <row r="6" customFormat="false" ht="21.75" hidden="false" customHeight="true" outlineLevel="0" collapsed="false">
      <c r="A6" s="9" t="n">
        <v>1</v>
      </c>
      <c r="B6" s="10" t="s">
        <v>67</v>
      </c>
      <c r="C6" s="9" t="s">
        <v>68</v>
      </c>
      <c r="D6" s="9" t="s">
        <v>69</v>
      </c>
      <c r="E6" s="11" t="s">
        <v>70</v>
      </c>
      <c r="F6" s="11" t="s">
        <v>70</v>
      </c>
      <c r="G6" s="12" t="s">
        <v>71</v>
      </c>
    </row>
    <row r="7" customFormat="false" ht="21.75" hidden="false" customHeight="true" outlineLevel="0" collapsed="false">
      <c r="A7" s="13" t="n">
        <v>2</v>
      </c>
      <c r="B7" s="14" t="s">
        <v>72</v>
      </c>
      <c r="C7" s="13" t="s">
        <v>68</v>
      </c>
      <c r="D7" s="13" t="s">
        <v>69</v>
      </c>
      <c r="E7" s="15" t="s">
        <v>70</v>
      </c>
      <c r="F7" s="15" t="s">
        <v>70</v>
      </c>
      <c r="G7" s="16" t="s">
        <v>73</v>
      </c>
    </row>
    <row r="8" customFormat="false" ht="21.75" hidden="false" customHeight="true" outlineLevel="0" collapsed="false">
      <c r="A8" s="9" t="n">
        <v>3</v>
      </c>
      <c r="B8" s="10" t="s">
        <v>74</v>
      </c>
      <c r="C8" s="9" t="s">
        <v>68</v>
      </c>
      <c r="D8" s="9" t="s">
        <v>69</v>
      </c>
      <c r="E8" s="11" t="s">
        <v>70</v>
      </c>
      <c r="F8" s="11" t="s">
        <v>70</v>
      </c>
      <c r="G8" s="12" t="s">
        <v>75</v>
      </c>
    </row>
    <row r="9" customFormat="false" ht="21.75" hidden="false" customHeight="true" outlineLevel="0" collapsed="false">
      <c r="A9" s="13" t="n">
        <v>4</v>
      </c>
      <c r="B9" s="14" t="s">
        <v>76</v>
      </c>
      <c r="C9" s="13" t="s">
        <v>68</v>
      </c>
      <c r="D9" s="13" t="s">
        <v>69</v>
      </c>
      <c r="E9" s="15" t="s">
        <v>70</v>
      </c>
      <c r="F9" s="15" t="s">
        <v>70</v>
      </c>
      <c r="G9" s="16" t="s">
        <v>77</v>
      </c>
    </row>
    <row r="10" customFormat="false" ht="21.75" hidden="false" customHeight="true" outlineLevel="0" collapsed="false">
      <c r="A10" s="9" t="n">
        <v>5</v>
      </c>
      <c r="B10" s="10" t="s">
        <v>78</v>
      </c>
      <c r="C10" s="9" t="s">
        <v>68</v>
      </c>
      <c r="D10" s="9" t="s">
        <v>69</v>
      </c>
      <c r="E10" s="11" t="s">
        <v>70</v>
      </c>
      <c r="F10" s="11" t="s">
        <v>70</v>
      </c>
      <c r="G10" s="12" t="s">
        <v>79</v>
      </c>
    </row>
    <row r="11" customFormat="false" ht="21.75" hidden="false" customHeight="true" outlineLevel="0" collapsed="false">
      <c r="A11" s="13" t="n">
        <v>6</v>
      </c>
      <c r="B11" s="14" t="s">
        <v>80</v>
      </c>
      <c r="C11" s="13" t="s">
        <v>68</v>
      </c>
      <c r="D11" s="13" t="s">
        <v>69</v>
      </c>
      <c r="E11" s="15" t="s">
        <v>70</v>
      </c>
      <c r="F11" s="15" t="s">
        <v>70</v>
      </c>
      <c r="G11" s="16" t="s">
        <v>77</v>
      </c>
    </row>
    <row r="12" customFormat="false" ht="21.75" hidden="false" customHeight="true" outlineLevel="0" collapsed="false">
      <c r="A12" s="9" t="n">
        <v>7</v>
      </c>
      <c r="B12" s="10" t="s">
        <v>81</v>
      </c>
      <c r="C12" s="9" t="s">
        <v>68</v>
      </c>
      <c r="D12" s="9" t="s">
        <v>82</v>
      </c>
      <c r="E12" s="11" t="s">
        <v>70</v>
      </c>
      <c r="F12" s="11" t="s">
        <v>70</v>
      </c>
      <c r="G12" s="12" t="s">
        <v>83</v>
      </c>
    </row>
    <row r="14" customFormat="false" ht="15" hidden="false" customHeight="false" outlineLevel="0" collapsed="false">
      <c r="A14" s="17" t="s">
        <v>84</v>
      </c>
      <c r="B14" s="17"/>
      <c r="C14" s="17"/>
      <c r="D14" s="17"/>
      <c r="E14" s="17"/>
      <c r="F14" s="17"/>
      <c r="G14" s="17"/>
    </row>
  </sheetData>
  <mergeCells count="3">
    <mergeCell ref="A1:G1"/>
    <mergeCell ref="A3:G3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45"/>
  </cols>
  <sheetData>
    <row r="1" customFormat="false" ht="25.5" hidden="false" customHeight="true" outlineLevel="0" collapsed="false">
      <c r="A1" s="1" t="s">
        <v>85</v>
      </c>
      <c r="B1" s="1"/>
      <c r="C1" s="1"/>
      <c r="D1" s="1"/>
      <c r="E1" s="1"/>
      <c r="F1" s="1"/>
      <c r="G1" s="1"/>
      <c r="H1" s="1"/>
    </row>
    <row r="3" customFormat="false" ht="15" hidden="false" customHeight="true" outlineLevel="0" collapsed="false">
      <c r="A3" s="7" t="s">
        <v>86</v>
      </c>
      <c r="B3" s="7"/>
      <c r="C3" s="7"/>
      <c r="D3" s="7"/>
      <c r="E3" s="7"/>
      <c r="F3" s="7"/>
      <c r="G3" s="7"/>
      <c r="H3" s="7"/>
    </row>
    <row r="5" customFormat="false" ht="31.5" hidden="false" customHeight="true" outlineLevel="0" collapsed="false">
      <c r="A5" s="8" t="s">
        <v>60</v>
      </c>
      <c r="B5" s="8" t="s">
        <v>87</v>
      </c>
      <c r="C5" s="8" t="s">
        <v>88</v>
      </c>
      <c r="D5" s="8" t="s">
        <v>61</v>
      </c>
      <c r="E5" s="8" t="s">
        <v>63</v>
      </c>
      <c r="F5" s="8" t="s">
        <v>89</v>
      </c>
      <c r="G5" s="8" t="s">
        <v>90</v>
      </c>
      <c r="H5" s="8" t="s">
        <v>91</v>
      </c>
    </row>
    <row r="6" customFormat="false" ht="24" hidden="false" customHeight="true" outlineLevel="0" collapsed="false">
      <c r="A6" s="18" t="n">
        <v>1</v>
      </c>
      <c r="B6" s="19" t="s">
        <v>92</v>
      </c>
      <c r="C6" s="19" t="s">
        <v>93</v>
      </c>
      <c r="D6" s="18" t="s">
        <v>94</v>
      </c>
      <c r="E6" s="18" t="s">
        <v>95</v>
      </c>
      <c r="F6" s="20" t="n">
        <v>1</v>
      </c>
      <c r="G6" s="20" t="n">
        <v>1</v>
      </c>
      <c r="H6" s="21" t="s">
        <v>96</v>
      </c>
    </row>
    <row r="7" customFormat="false" ht="24" hidden="false" customHeight="true" outlineLevel="0" collapsed="false">
      <c r="A7" s="18" t="n">
        <v>2</v>
      </c>
      <c r="B7" s="19" t="s">
        <v>92</v>
      </c>
      <c r="C7" s="19" t="s">
        <v>93</v>
      </c>
      <c r="D7" s="18" t="s">
        <v>97</v>
      </c>
      <c r="E7" s="18" t="s">
        <v>98</v>
      </c>
      <c r="F7" s="20" t="n">
        <v>1</v>
      </c>
      <c r="G7" s="20" t="n">
        <v>1</v>
      </c>
      <c r="H7" s="21" t="s">
        <v>99</v>
      </c>
    </row>
    <row r="8" customFormat="false" ht="24" hidden="false" customHeight="true" outlineLevel="0" collapsed="false">
      <c r="A8" s="18" t="n">
        <v>3</v>
      </c>
      <c r="B8" s="19" t="s">
        <v>92</v>
      </c>
      <c r="C8" s="19" t="s">
        <v>100</v>
      </c>
      <c r="D8" s="18" t="s">
        <v>101</v>
      </c>
      <c r="E8" s="18" t="s">
        <v>95</v>
      </c>
      <c r="F8" s="20" t="n">
        <v>1</v>
      </c>
      <c r="G8" s="20" t="n">
        <v>1</v>
      </c>
      <c r="H8" s="21" t="s">
        <v>102</v>
      </c>
    </row>
    <row r="9" customFormat="false" ht="24" hidden="false" customHeight="true" outlineLevel="0" collapsed="false">
      <c r="A9" s="18" t="n">
        <v>4</v>
      </c>
      <c r="B9" s="19" t="s">
        <v>92</v>
      </c>
      <c r="C9" s="19" t="s">
        <v>100</v>
      </c>
      <c r="D9" s="18" t="s">
        <v>103</v>
      </c>
      <c r="E9" s="18" t="s">
        <v>95</v>
      </c>
      <c r="F9" s="22" t="n">
        <v>0.75</v>
      </c>
      <c r="G9" s="22" t="n">
        <v>0.75</v>
      </c>
      <c r="H9" s="21" t="s">
        <v>104</v>
      </c>
    </row>
    <row r="10" customFormat="false" ht="24" hidden="false" customHeight="true" outlineLevel="0" collapsed="false">
      <c r="A10" s="18" t="n">
        <v>5</v>
      </c>
      <c r="B10" s="19" t="s">
        <v>92</v>
      </c>
      <c r="C10" s="19" t="s">
        <v>105</v>
      </c>
      <c r="D10" s="18" t="s">
        <v>106</v>
      </c>
      <c r="E10" s="18" t="s">
        <v>95</v>
      </c>
      <c r="F10" s="20" t="n">
        <v>1</v>
      </c>
      <c r="G10" s="20" t="n">
        <v>1</v>
      </c>
      <c r="H10" s="21" t="s">
        <v>107</v>
      </c>
    </row>
    <row r="11" customFormat="false" ht="24" hidden="false" customHeight="true" outlineLevel="0" collapsed="false">
      <c r="A11" s="23" t="n">
        <v>6</v>
      </c>
      <c r="B11" s="24" t="s">
        <v>108</v>
      </c>
      <c r="C11" s="24" t="s">
        <v>109</v>
      </c>
      <c r="D11" s="23" t="s">
        <v>110</v>
      </c>
      <c r="E11" s="23" t="s">
        <v>95</v>
      </c>
      <c r="F11" s="25" t="n">
        <v>1</v>
      </c>
      <c r="G11" s="25" t="n">
        <v>1</v>
      </c>
      <c r="H11" s="26"/>
    </row>
    <row r="12" customFormat="false" ht="24" hidden="false" customHeight="true" outlineLevel="0" collapsed="false">
      <c r="A12" s="23" t="n">
        <v>7</v>
      </c>
      <c r="B12" s="24" t="s">
        <v>108</v>
      </c>
      <c r="C12" s="24" t="s">
        <v>109</v>
      </c>
      <c r="D12" s="23" t="s">
        <v>111</v>
      </c>
      <c r="E12" s="23" t="s">
        <v>95</v>
      </c>
      <c r="F12" s="27" t="n">
        <v>0.99</v>
      </c>
      <c r="G12" s="27" t="n">
        <v>0.99</v>
      </c>
      <c r="H12" s="26" t="s">
        <v>112</v>
      </c>
    </row>
    <row r="13" customFormat="false" ht="24" hidden="false" customHeight="true" outlineLevel="0" collapsed="false">
      <c r="A13" s="23" t="n">
        <v>8</v>
      </c>
      <c r="B13" s="24" t="s">
        <v>108</v>
      </c>
      <c r="C13" s="24" t="s">
        <v>113</v>
      </c>
      <c r="D13" s="23" t="s">
        <v>114</v>
      </c>
      <c r="E13" s="23" t="s">
        <v>95</v>
      </c>
      <c r="F13" s="25" t="n">
        <v>1</v>
      </c>
      <c r="G13" s="25" t="n">
        <v>1</v>
      </c>
      <c r="H13" s="26" t="s">
        <v>115</v>
      </c>
    </row>
    <row r="14" customFormat="false" ht="24" hidden="false" customHeight="true" outlineLevel="0" collapsed="false">
      <c r="A14" s="23" t="n">
        <v>9</v>
      </c>
      <c r="B14" s="24" t="s">
        <v>108</v>
      </c>
      <c r="C14" s="24" t="s">
        <v>113</v>
      </c>
      <c r="D14" s="23" t="s">
        <v>116</v>
      </c>
      <c r="E14" s="23" t="s">
        <v>95</v>
      </c>
      <c r="F14" s="25" t="n">
        <v>1</v>
      </c>
      <c r="G14" s="28" t="s">
        <v>117</v>
      </c>
      <c r="H14" s="26" t="s">
        <v>118</v>
      </c>
    </row>
    <row r="15" customFormat="false" ht="24" hidden="false" customHeight="true" outlineLevel="0" collapsed="false">
      <c r="A15" s="23" t="n">
        <v>10</v>
      </c>
      <c r="B15" s="24" t="s">
        <v>108</v>
      </c>
      <c r="C15" s="24" t="s">
        <v>119</v>
      </c>
      <c r="D15" s="23" t="s">
        <v>120</v>
      </c>
      <c r="E15" s="23" t="s">
        <v>95</v>
      </c>
      <c r="F15" s="27" t="n">
        <v>0.94</v>
      </c>
      <c r="G15" s="27" t="n">
        <v>0.94</v>
      </c>
      <c r="H15" s="26" t="s">
        <v>121</v>
      </c>
    </row>
    <row r="16" customFormat="false" ht="24" hidden="false" customHeight="true" outlineLevel="0" collapsed="false">
      <c r="A16" s="23" t="n">
        <v>11</v>
      </c>
      <c r="B16" s="24" t="s">
        <v>108</v>
      </c>
      <c r="C16" s="24" t="s">
        <v>119</v>
      </c>
      <c r="D16" s="23" t="s">
        <v>122</v>
      </c>
      <c r="E16" s="23" t="s">
        <v>95</v>
      </c>
      <c r="F16" s="29" t="n">
        <v>0.4</v>
      </c>
      <c r="G16" s="29" t="n">
        <v>0.4</v>
      </c>
      <c r="H16" s="26" t="s">
        <v>123</v>
      </c>
    </row>
    <row r="17" customFormat="false" ht="24" hidden="false" customHeight="true" outlineLevel="0" collapsed="false">
      <c r="A17" s="30" t="n">
        <v>12</v>
      </c>
      <c r="B17" s="31" t="s">
        <v>124</v>
      </c>
      <c r="C17" s="31" t="s">
        <v>125</v>
      </c>
      <c r="D17" s="30" t="s">
        <v>126</v>
      </c>
      <c r="E17" s="30" t="s">
        <v>95</v>
      </c>
      <c r="F17" s="32" t="n">
        <v>0.999</v>
      </c>
      <c r="G17" s="32" t="n">
        <v>0.999</v>
      </c>
      <c r="H17" s="33" t="s">
        <v>127</v>
      </c>
    </row>
    <row r="18" customFormat="false" ht="24" hidden="false" customHeight="true" outlineLevel="0" collapsed="false">
      <c r="A18" s="30" t="n">
        <v>13</v>
      </c>
      <c r="B18" s="31" t="s">
        <v>124</v>
      </c>
      <c r="C18" s="31" t="s">
        <v>125</v>
      </c>
      <c r="D18" s="30" t="s">
        <v>128</v>
      </c>
      <c r="E18" s="30" t="s">
        <v>95</v>
      </c>
      <c r="F18" s="34" t="n">
        <v>1</v>
      </c>
      <c r="G18" s="34" t="n">
        <v>1</v>
      </c>
      <c r="H18" s="33" t="s">
        <v>129</v>
      </c>
    </row>
    <row r="19" customFormat="false" ht="24" hidden="false" customHeight="true" outlineLevel="0" collapsed="false">
      <c r="A19" s="30" t="n">
        <v>14</v>
      </c>
      <c r="B19" s="31" t="s">
        <v>124</v>
      </c>
      <c r="C19" s="31" t="s">
        <v>130</v>
      </c>
      <c r="D19" s="30" t="s">
        <v>131</v>
      </c>
      <c r="E19" s="30" t="s">
        <v>95</v>
      </c>
      <c r="F19" s="34" t="n">
        <v>1</v>
      </c>
      <c r="G19" s="34" t="n">
        <v>1</v>
      </c>
      <c r="H19" s="33"/>
    </row>
    <row r="20" customFormat="false" ht="24" hidden="false" customHeight="true" outlineLevel="0" collapsed="false">
      <c r="A20" s="35" t="n">
        <v>15</v>
      </c>
      <c r="B20" s="36" t="s">
        <v>82</v>
      </c>
      <c r="C20" s="36" t="s">
        <v>132</v>
      </c>
      <c r="D20" s="35" t="s">
        <v>133</v>
      </c>
      <c r="E20" s="35" t="s">
        <v>95</v>
      </c>
      <c r="F20" s="37" t="n">
        <v>1</v>
      </c>
      <c r="G20" s="38" t="n">
        <v>0.9</v>
      </c>
      <c r="H20" s="39" t="s">
        <v>134</v>
      </c>
    </row>
    <row r="21" customFormat="false" ht="24" hidden="false" customHeight="true" outlineLevel="0" collapsed="false">
      <c r="A21" s="35" t="n">
        <v>16</v>
      </c>
      <c r="B21" s="36" t="s">
        <v>82</v>
      </c>
      <c r="C21" s="36" t="s">
        <v>132</v>
      </c>
      <c r="D21" s="35" t="s">
        <v>135</v>
      </c>
      <c r="E21" s="35" t="s">
        <v>95</v>
      </c>
      <c r="F21" s="37" t="n">
        <v>1</v>
      </c>
      <c r="G21" s="37" t="n">
        <v>1</v>
      </c>
      <c r="H21" s="39"/>
    </row>
    <row r="22" customFormat="false" ht="24" hidden="false" customHeight="true" outlineLevel="0" collapsed="false">
      <c r="A22" s="35" t="n">
        <v>17</v>
      </c>
      <c r="B22" s="36" t="s">
        <v>82</v>
      </c>
      <c r="C22" s="36" t="s">
        <v>136</v>
      </c>
      <c r="D22" s="35" t="s">
        <v>137</v>
      </c>
      <c r="E22" s="35" t="s">
        <v>95</v>
      </c>
      <c r="F22" s="38" t="n">
        <v>0.6744</v>
      </c>
      <c r="G22" s="38" t="n">
        <v>0.6744</v>
      </c>
      <c r="H22" s="39" t="s">
        <v>138</v>
      </c>
    </row>
    <row r="23" customFormat="false" ht="24" hidden="false" customHeight="true" outlineLevel="0" collapsed="false">
      <c r="A23" s="35" t="n">
        <v>18</v>
      </c>
      <c r="B23" s="36" t="s">
        <v>82</v>
      </c>
      <c r="C23" s="36" t="s">
        <v>136</v>
      </c>
      <c r="D23" s="35" t="s">
        <v>139</v>
      </c>
      <c r="E23" s="35" t="s">
        <v>95</v>
      </c>
      <c r="F23" s="38" t="n">
        <v>0.6744</v>
      </c>
      <c r="G23" s="38" t="n">
        <v>0.6744</v>
      </c>
      <c r="H23" s="39" t="s">
        <v>138</v>
      </c>
    </row>
    <row r="24" customFormat="false" ht="24" hidden="false" customHeight="true" outlineLevel="0" collapsed="false">
      <c r="A24" s="35" t="n">
        <v>19</v>
      </c>
      <c r="B24" s="36" t="s">
        <v>82</v>
      </c>
      <c r="C24" s="36" t="s">
        <v>140</v>
      </c>
      <c r="D24" s="35" t="s">
        <v>141</v>
      </c>
      <c r="E24" s="35" t="s">
        <v>95</v>
      </c>
      <c r="F24" s="37" t="n">
        <v>1</v>
      </c>
      <c r="G24" s="37" t="n">
        <v>1</v>
      </c>
      <c r="H24" s="39" t="s">
        <v>142</v>
      </c>
    </row>
    <row r="25" customFormat="false" ht="24" hidden="false" customHeight="true" outlineLevel="0" collapsed="false">
      <c r="A25" s="35" t="n">
        <v>20</v>
      </c>
      <c r="B25" s="36" t="s">
        <v>82</v>
      </c>
      <c r="C25" s="36" t="s">
        <v>143</v>
      </c>
      <c r="D25" s="35" t="s">
        <v>144</v>
      </c>
      <c r="E25" s="35" t="s">
        <v>95</v>
      </c>
      <c r="F25" s="37" t="n">
        <v>1</v>
      </c>
      <c r="G25" s="37" t="n">
        <v>1</v>
      </c>
      <c r="H25" s="39" t="s">
        <v>145</v>
      </c>
    </row>
    <row r="26" customFormat="false" ht="24" hidden="false" customHeight="true" outlineLevel="0" collapsed="false">
      <c r="A26" s="40" t="n">
        <v>21</v>
      </c>
      <c r="B26" s="41" t="s">
        <v>146</v>
      </c>
      <c r="C26" s="41" t="s">
        <v>147</v>
      </c>
      <c r="D26" s="40" t="s">
        <v>148</v>
      </c>
      <c r="E26" s="40" t="s">
        <v>98</v>
      </c>
      <c r="F26" s="42" t="n">
        <v>1</v>
      </c>
      <c r="G26" s="42" t="n">
        <v>1</v>
      </c>
      <c r="H26" s="43" t="s">
        <v>149</v>
      </c>
    </row>
    <row r="27" customFormat="false" ht="15" hidden="false" customHeight="false" outlineLevel="0" collapsed="false">
      <c r="A27" s="44"/>
      <c r="B27" s="45" t="s">
        <v>150</v>
      </c>
      <c r="C27" s="44"/>
      <c r="D27" s="46" t="n">
        <f aca="false">COUNTA(D6:D26)</f>
        <v>21</v>
      </c>
      <c r="E27" s="47" t="n">
        <f aca="false">COUNTIF(E6:E26,"Restaurants")</f>
        <v>19</v>
      </c>
      <c r="F27" s="48"/>
      <c r="G27" s="48"/>
      <c r="H27" s="48"/>
    </row>
    <row r="29" customFormat="false" ht="15" hidden="false" customHeight="false" outlineLevel="0" collapsed="false">
      <c r="A29" s="17" t="s">
        <v>151</v>
      </c>
      <c r="B29" s="17"/>
      <c r="C29" s="17"/>
      <c r="D29" s="17"/>
      <c r="E29" s="17"/>
      <c r="F29" s="17"/>
      <c r="G29" s="17"/>
      <c r="H29" s="17"/>
    </row>
  </sheetData>
  <mergeCells count="3">
    <mergeCell ref="A1:H1"/>
    <mergeCell ref="A3:H3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8" min="8" style="0" width="18"/>
  </cols>
  <sheetData>
    <row r="1" customFormat="false" ht="25.5" hidden="false" customHeight="true" outlineLevel="0" collapsed="false">
      <c r="A1" s="1" t="s">
        <v>152</v>
      </c>
      <c r="B1" s="1"/>
      <c r="C1" s="1"/>
      <c r="D1" s="1"/>
      <c r="E1" s="1"/>
      <c r="F1" s="1"/>
      <c r="G1" s="1"/>
      <c r="H1" s="1"/>
    </row>
    <row r="3" customFormat="false" ht="31.5" hidden="false" customHeight="true" outlineLevel="0" collapsed="false">
      <c r="A3" s="8" t="s">
        <v>60</v>
      </c>
      <c r="B3" s="8" t="s">
        <v>88</v>
      </c>
      <c r="C3" s="8" t="s">
        <v>87</v>
      </c>
      <c r="D3" s="8" t="s">
        <v>153</v>
      </c>
      <c r="E3" s="8" t="s">
        <v>154</v>
      </c>
      <c r="F3" s="8" t="s">
        <v>155</v>
      </c>
      <c r="G3" s="8" t="s">
        <v>156</v>
      </c>
      <c r="H3" s="8" t="s">
        <v>157</v>
      </c>
    </row>
    <row r="4" customFormat="false" ht="21.75" hidden="false" customHeight="true" outlineLevel="0" collapsed="false">
      <c r="A4" s="13" t="n">
        <v>1</v>
      </c>
      <c r="B4" s="14" t="s">
        <v>93</v>
      </c>
      <c r="C4" s="13" t="s">
        <v>92</v>
      </c>
      <c r="D4" s="49" t="n">
        <v>2</v>
      </c>
      <c r="E4" s="49" t="n">
        <v>766</v>
      </c>
      <c r="F4" s="50" t="n">
        <v>630</v>
      </c>
      <c r="G4" s="51" t="n">
        <v>0.251</v>
      </c>
      <c r="H4" s="13" t="s">
        <v>158</v>
      </c>
    </row>
    <row r="5" customFormat="false" ht="21.75" hidden="false" customHeight="true" outlineLevel="0" collapsed="false">
      <c r="A5" s="13" t="n">
        <v>2</v>
      </c>
      <c r="B5" s="14" t="s">
        <v>100</v>
      </c>
      <c r="C5" s="13" t="s">
        <v>92</v>
      </c>
      <c r="D5" s="49" t="n">
        <v>2</v>
      </c>
      <c r="E5" s="49" t="n">
        <v>652</v>
      </c>
      <c r="F5" s="50" t="n">
        <v>844</v>
      </c>
      <c r="G5" s="51" t="n">
        <v>0.337</v>
      </c>
      <c r="H5" s="13" t="s">
        <v>159</v>
      </c>
    </row>
    <row r="6" customFormat="false" ht="21.75" hidden="false" customHeight="true" outlineLevel="0" collapsed="false">
      <c r="A6" s="13" t="n">
        <v>3</v>
      </c>
      <c r="B6" s="14" t="s">
        <v>105</v>
      </c>
      <c r="C6" s="13" t="s">
        <v>92</v>
      </c>
      <c r="D6" s="49" t="n">
        <v>1</v>
      </c>
      <c r="E6" s="49" t="n">
        <v>276</v>
      </c>
      <c r="F6" s="50" t="n">
        <v>347</v>
      </c>
      <c r="G6" s="51" t="n">
        <v>0.138</v>
      </c>
      <c r="H6" s="13" t="s">
        <v>158</v>
      </c>
    </row>
    <row r="7" customFormat="false" ht="21.75" hidden="false" customHeight="true" outlineLevel="0" collapsed="false">
      <c r="A7" s="13" t="n">
        <v>4</v>
      </c>
      <c r="B7" s="14" t="s">
        <v>109</v>
      </c>
      <c r="C7" s="13" t="s">
        <v>108</v>
      </c>
      <c r="D7" s="49" t="n">
        <v>2</v>
      </c>
      <c r="E7" s="49" t="n">
        <v>109</v>
      </c>
      <c r="F7" s="50" t="n">
        <v>110</v>
      </c>
      <c r="G7" s="51" t="n">
        <v>0.044</v>
      </c>
      <c r="H7" s="13" t="s">
        <v>160</v>
      </c>
    </row>
    <row r="8" customFormat="false" ht="21.75" hidden="false" customHeight="true" outlineLevel="0" collapsed="false">
      <c r="A8" s="13" t="n">
        <v>5</v>
      </c>
      <c r="B8" s="14" t="s">
        <v>113</v>
      </c>
      <c r="C8" s="13" t="s">
        <v>108</v>
      </c>
      <c r="D8" s="49" t="n">
        <v>2</v>
      </c>
      <c r="E8" s="49" t="n">
        <v>101</v>
      </c>
      <c r="F8" s="50" t="n">
        <v>80</v>
      </c>
      <c r="G8" s="51" t="n">
        <v>0.032</v>
      </c>
      <c r="H8" s="13" t="s">
        <v>158</v>
      </c>
    </row>
    <row r="9" customFormat="false" ht="21.75" hidden="false" customHeight="true" outlineLevel="0" collapsed="false">
      <c r="A9" s="13" t="n">
        <v>6</v>
      </c>
      <c r="B9" s="14" t="s">
        <v>119</v>
      </c>
      <c r="C9" s="13" t="s">
        <v>108</v>
      </c>
      <c r="D9" s="49" t="n">
        <v>2</v>
      </c>
      <c r="E9" s="49" t="n">
        <v>77</v>
      </c>
      <c r="F9" s="50" t="n">
        <v>68</v>
      </c>
      <c r="G9" s="51" t="n">
        <v>0.027</v>
      </c>
      <c r="H9" s="13" t="s">
        <v>161</v>
      </c>
    </row>
    <row r="10" customFormat="false" ht="21.75" hidden="false" customHeight="true" outlineLevel="0" collapsed="false">
      <c r="A10" s="13" t="n">
        <v>7</v>
      </c>
      <c r="B10" s="14" t="s">
        <v>125</v>
      </c>
      <c r="C10" s="13" t="s">
        <v>124</v>
      </c>
      <c r="D10" s="49" t="n">
        <v>2</v>
      </c>
      <c r="E10" s="49" t="n">
        <v>450</v>
      </c>
      <c r="F10" s="50" t="n">
        <v>173</v>
      </c>
      <c r="G10" s="51" t="n">
        <v>0.069</v>
      </c>
      <c r="H10" s="13" t="s">
        <v>162</v>
      </c>
    </row>
    <row r="11" customFormat="false" ht="21.75" hidden="false" customHeight="true" outlineLevel="0" collapsed="false">
      <c r="A11" s="13" t="n">
        <v>8</v>
      </c>
      <c r="B11" s="14" t="s">
        <v>130</v>
      </c>
      <c r="C11" s="13" t="s">
        <v>124</v>
      </c>
      <c r="D11" s="49" t="n">
        <v>1</v>
      </c>
      <c r="E11" s="49" t="n">
        <v>55</v>
      </c>
      <c r="F11" s="50" t="n">
        <v>50</v>
      </c>
      <c r="G11" s="51" t="n">
        <v>0.02</v>
      </c>
      <c r="H11" s="13" t="s">
        <v>158</v>
      </c>
    </row>
    <row r="12" customFormat="false" ht="21.75" hidden="false" customHeight="true" outlineLevel="0" collapsed="false">
      <c r="A12" s="13" t="n">
        <v>9</v>
      </c>
      <c r="B12" s="14" t="s">
        <v>132</v>
      </c>
      <c r="C12" s="13" t="s">
        <v>82</v>
      </c>
      <c r="D12" s="49" t="n">
        <v>2</v>
      </c>
      <c r="E12" s="49" t="n">
        <v>42</v>
      </c>
      <c r="F12" s="50" t="n">
        <v>35</v>
      </c>
      <c r="G12" s="51" t="n">
        <v>0.014</v>
      </c>
      <c r="H12" s="13" t="s">
        <v>163</v>
      </c>
    </row>
    <row r="13" customFormat="false" ht="21.75" hidden="false" customHeight="true" outlineLevel="0" collapsed="false">
      <c r="A13" s="13" t="n">
        <v>10</v>
      </c>
      <c r="B13" s="14" t="s">
        <v>136</v>
      </c>
      <c r="C13" s="13" t="s">
        <v>82</v>
      </c>
      <c r="D13" s="49" t="n">
        <v>2</v>
      </c>
      <c r="E13" s="49" t="n">
        <v>57</v>
      </c>
      <c r="F13" s="50" t="n">
        <v>45</v>
      </c>
      <c r="G13" s="51" t="n">
        <v>0.018</v>
      </c>
      <c r="H13" s="13" t="s">
        <v>164</v>
      </c>
    </row>
    <row r="14" customFormat="false" ht="21.75" hidden="false" customHeight="true" outlineLevel="0" collapsed="false">
      <c r="A14" s="13" t="n">
        <v>11</v>
      </c>
      <c r="B14" s="14" t="s">
        <v>140</v>
      </c>
      <c r="C14" s="13" t="s">
        <v>82</v>
      </c>
      <c r="D14" s="49" t="n">
        <v>1</v>
      </c>
      <c r="E14" s="49" t="n">
        <v>147</v>
      </c>
      <c r="F14" s="50" t="n">
        <v>130</v>
      </c>
      <c r="G14" s="51" t="n">
        <v>0.052</v>
      </c>
      <c r="H14" s="13" t="s">
        <v>158</v>
      </c>
    </row>
    <row r="15" customFormat="false" ht="21.75" hidden="false" customHeight="true" outlineLevel="0" collapsed="false">
      <c r="A15" s="13" t="n">
        <v>12</v>
      </c>
      <c r="B15" s="14" t="s">
        <v>143</v>
      </c>
      <c r="C15" s="13" t="s">
        <v>82</v>
      </c>
      <c r="D15" s="49" t="n">
        <v>1</v>
      </c>
      <c r="E15" s="49" t="n">
        <v>17</v>
      </c>
      <c r="F15" s="50" t="n">
        <v>28</v>
      </c>
      <c r="G15" s="51" t="n">
        <v>0.011</v>
      </c>
      <c r="H15" s="13" t="s">
        <v>158</v>
      </c>
    </row>
    <row r="16" customFormat="false" ht="21.75" hidden="false" customHeight="true" outlineLevel="0" collapsed="false">
      <c r="A16" s="13" t="n">
        <v>13</v>
      </c>
      <c r="B16" s="14" t="s">
        <v>147</v>
      </c>
      <c r="C16" s="13" t="s">
        <v>146</v>
      </c>
      <c r="D16" s="49" t="n">
        <v>1</v>
      </c>
      <c r="E16" s="49" t="n">
        <v>0</v>
      </c>
      <c r="F16" s="50" t="n">
        <v>0</v>
      </c>
      <c r="G16" s="51" t="n">
        <v>0</v>
      </c>
      <c r="H16" s="13" t="s">
        <v>165</v>
      </c>
    </row>
    <row r="17" customFormat="false" ht="15" hidden="false" customHeight="false" outlineLevel="0" collapsed="false">
      <c r="A17" s="44"/>
      <c r="B17" s="45" t="s">
        <v>150</v>
      </c>
      <c r="C17" s="44"/>
      <c r="D17" s="52" t="n">
        <f aca="false">SUM(D4:D16)</f>
        <v>21</v>
      </c>
      <c r="E17" s="52" t="n">
        <f aca="false">SUM(E4:E16)</f>
        <v>2749</v>
      </c>
      <c r="F17" s="53" t="n">
        <f aca="false">SUM(F4:F16)</f>
        <v>2540</v>
      </c>
      <c r="G17" s="54" t="n">
        <f aca="false">SUM(G4:G16)</f>
        <v>1.013</v>
      </c>
      <c r="H17" s="44"/>
    </row>
    <row r="19" customFormat="false" ht="15" hidden="false" customHeight="false" outlineLevel="0" collapsed="false">
      <c r="A19" s="17" t="s">
        <v>166</v>
      </c>
      <c r="B19" s="17"/>
      <c r="C19" s="17"/>
      <c r="D19" s="17"/>
      <c r="E19" s="17"/>
      <c r="F19" s="17"/>
      <c r="G19" s="17"/>
      <c r="H19" s="17"/>
    </row>
  </sheetData>
  <mergeCells count="2">
    <mergeCell ref="A1:H1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5" min="4" style="0" width="16"/>
    <col collapsed="false" customWidth="true" hidden="false" outlineLevel="0" max="7" min="6" style="0" width="14"/>
  </cols>
  <sheetData>
    <row r="1" customFormat="false" ht="25.5" hidden="false" customHeight="true" outlineLevel="0" collapsed="false">
      <c r="A1" s="1" t="s">
        <v>167</v>
      </c>
      <c r="B1" s="1"/>
      <c r="C1" s="1"/>
      <c r="D1" s="1"/>
      <c r="E1" s="1"/>
      <c r="F1" s="1"/>
      <c r="G1" s="1"/>
    </row>
    <row r="3" customFormat="false" ht="31.5" hidden="false" customHeight="true" outlineLevel="0" collapsed="false">
      <c r="A3" s="8" t="s">
        <v>60</v>
      </c>
      <c r="B3" s="8" t="s">
        <v>87</v>
      </c>
      <c r="C3" s="8" t="s">
        <v>168</v>
      </c>
      <c r="D3" s="8" t="s">
        <v>153</v>
      </c>
      <c r="E3" s="8" t="s">
        <v>169</v>
      </c>
      <c r="F3" s="8" t="s">
        <v>155</v>
      </c>
      <c r="G3" s="8" t="s">
        <v>156</v>
      </c>
    </row>
    <row r="4" customFormat="false" ht="24" hidden="false" customHeight="true" outlineLevel="0" collapsed="false">
      <c r="A4" s="13" t="n">
        <v>1</v>
      </c>
      <c r="B4" s="14" t="s">
        <v>92</v>
      </c>
      <c r="C4" s="13" t="s">
        <v>170</v>
      </c>
      <c r="D4" s="49" t="n">
        <v>5</v>
      </c>
      <c r="E4" s="49" t="n">
        <v>1694</v>
      </c>
      <c r="F4" s="55" t="n">
        <v>1821.5</v>
      </c>
      <c r="G4" s="51" t="n">
        <v>0.726</v>
      </c>
    </row>
    <row r="5" customFormat="false" ht="24" hidden="false" customHeight="true" outlineLevel="0" collapsed="false">
      <c r="A5" s="13" t="n">
        <v>2</v>
      </c>
      <c r="B5" s="14" t="s">
        <v>108</v>
      </c>
      <c r="C5" s="13" t="s">
        <v>171</v>
      </c>
      <c r="D5" s="49" t="n">
        <v>6</v>
      </c>
      <c r="E5" s="49" t="n">
        <v>287</v>
      </c>
      <c r="F5" s="55" t="n">
        <v>257.9</v>
      </c>
      <c r="G5" s="51" t="n">
        <v>0.103</v>
      </c>
    </row>
    <row r="6" customFormat="false" ht="24" hidden="false" customHeight="true" outlineLevel="0" collapsed="false">
      <c r="A6" s="13" t="n">
        <v>3</v>
      </c>
      <c r="B6" s="14" t="s">
        <v>124</v>
      </c>
      <c r="C6" s="13" t="s">
        <v>172</v>
      </c>
      <c r="D6" s="49" t="n">
        <v>3</v>
      </c>
      <c r="E6" s="49" t="n">
        <v>505</v>
      </c>
      <c r="F6" s="55" t="n">
        <v>223.2</v>
      </c>
      <c r="G6" s="51" t="n">
        <v>0.089</v>
      </c>
    </row>
    <row r="7" customFormat="false" ht="24" hidden="false" customHeight="true" outlineLevel="0" collapsed="false">
      <c r="A7" s="13" t="n">
        <v>4</v>
      </c>
      <c r="B7" s="14" t="s">
        <v>82</v>
      </c>
      <c r="C7" s="13" t="s">
        <v>173</v>
      </c>
      <c r="D7" s="49" t="n">
        <v>6</v>
      </c>
      <c r="E7" s="49" t="n">
        <v>263</v>
      </c>
      <c r="F7" s="55" t="n">
        <v>238.1</v>
      </c>
      <c r="G7" s="51" t="n">
        <v>0.095</v>
      </c>
    </row>
    <row r="8" customFormat="false" ht="24" hidden="false" customHeight="true" outlineLevel="0" collapsed="false">
      <c r="A8" s="13" t="n">
        <v>5</v>
      </c>
      <c r="B8" s="14" t="s">
        <v>146</v>
      </c>
      <c r="C8" s="13" t="s">
        <v>174</v>
      </c>
      <c r="D8" s="49" t="n">
        <v>1</v>
      </c>
      <c r="E8" s="49" t="n">
        <v>0</v>
      </c>
      <c r="F8" s="55" t="n">
        <v>0</v>
      </c>
      <c r="G8" s="51" t="n">
        <v>0</v>
      </c>
    </row>
    <row r="9" customFormat="false" ht="15" hidden="false" customHeight="false" outlineLevel="0" collapsed="false">
      <c r="B9" s="45" t="s">
        <v>150</v>
      </c>
      <c r="C9" s="44"/>
      <c r="D9" s="52" t="n">
        <f aca="false">SUM(D4:D8)</f>
        <v>21</v>
      </c>
      <c r="E9" s="52" t="n">
        <f aca="false">SUM(E4:E8)</f>
        <v>2749</v>
      </c>
      <c r="F9" s="56" t="n">
        <f aca="false">SUM(F4:F8)</f>
        <v>2540.7</v>
      </c>
      <c r="G9" s="54" t="n">
        <f aca="false">SUM(G4:G8)</f>
        <v>1.013</v>
      </c>
    </row>
    <row r="11" customFormat="false" ht="15" hidden="false" customHeight="false" outlineLevel="0" collapsed="false">
      <c r="A11" s="17" t="s">
        <v>175</v>
      </c>
      <c r="B11" s="17"/>
      <c r="C11" s="17"/>
      <c r="D11" s="17"/>
      <c r="E11" s="17"/>
      <c r="F11" s="17"/>
      <c r="G11" s="17"/>
    </row>
  </sheetData>
  <mergeCells count="2">
    <mergeCell ref="A1:G1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5" min="4" style="0" width="18"/>
    <col collapsed="false" customWidth="true" hidden="false" outlineLevel="0" max="6" min="6" style="0" width="35"/>
  </cols>
  <sheetData>
    <row r="1" customFormat="false" ht="25.5" hidden="false" customHeight="true" outlineLevel="0" collapsed="false">
      <c r="A1" s="1" t="s">
        <v>176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7" t="s">
        <v>177</v>
      </c>
      <c r="B3" s="7"/>
      <c r="C3" s="7"/>
      <c r="D3" s="7"/>
      <c r="E3" s="7"/>
      <c r="F3" s="7"/>
    </row>
    <row r="5" customFormat="false" ht="15" hidden="false" customHeight="false" outlineLevel="0" collapsed="false">
      <c r="A5" s="57" t="s">
        <v>178</v>
      </c>
      <c r="B5" s="57"/>
      <c r="C5" s="57"/>
      <c r="D5" s="57"/>
      <c r="E5" s="57"/>
      <c r="F5" s="57"/>
    </row>
    <row r="6" customFormat="false" ht="31.5" hidden="false" customHeight="true" outlineLevel="0" collapsed="false">
      <c r="A6" s="8" t="s">
        <v>60</v>
      </c>
      <c r="B6" s="8" t="s">
        <v>88</v>
      </c>
      <c r="C6" s="8" t="s">
        <v>61</v>
      </c>
      <c r="D6" s="8" t="s">
        <v>63</v>
      </c>
      <c r="E6" s="8" t="s">
        <v>179</v>
      </c>
      <c r="F6" s="8" t="s">
        <v>91</v>
      </c>
    </row>
    <row r="7" customFormat="false" ht="21.75" hidden="false" customHeight="true" outlineLevel="0" collapsed="false">
      <c r="A7" s="13" t="n">
        <v>1</v>
      </c>
      <c r="B7" s="14" t="s">
        <v>93</v>
      </c>
      <c r="C7" s="13" t="s">
        <v>94</v>
      </c>
      <c r="D7" s="13" t="s">
        <v>95</v>
      </c>
      <c r="E7" s="58" t="n">
        <v>1</v>
      </c>
      <c r="F7" s="16" t="s">
        <v>180</v>
      </c>
    </row>
    <row r="8" customFormat="false" ht="21.75" hidden="false" customHeight="true" outlineLevel="0" collapsed="false">
      <c r="A8" s="13" t="n">
        <v>2</v>
      </c>
      <c r="B8" s="14" t="s">
        <v>93</v>
      </c>
      <c r="C8" s="13" t="s">
        <v>181</v>
      </c>
      <c r="D8" s="13" t="s">
        <v>98</v>
      </c>
      <c r="E8" s="58" t="n">
        <v>1</v>
      </c>
      <c r="F8" s="16" t="s">
        <v>182</v>
      </c>
    </row>
    <row r="9" customFormat="false" ht="21.75" hidden="false" customHeight="true" outlineLevel="0" collapsed="false">
      <c r="A9" s="13" t="n">
        <v>3</v>
      </c>
      <c r="B9" s="14" t="s">
        <v>100</v>
      </c>
      <c r="C9" s="13" t="s">
        <v>101</v>
      </c>
      <c r="D9" s="13" t="s">
        <v>95</v>
      </c>
      <c r="E9" s="58" t="n">
        <v>1</v>
      </c>
      <c r="F9" s="16" t="s">
        <v>183</v>
      </c>
    </row>
    <row r="10" customFormat="false" ht="21.75" hidden="false" customHeight="true" outlineLevel="0" collapsed="false">
      <c r="A10" s="13" t="n">
        <v>4</v>
      </c>
      <c r="B10" s="14" t="s">
        <v>105</v>
      </c>
      <c r="C10" s="13" t="s">
        <v>106</v>
      </c>
      <c r="D10" s="13" t="s">
        <v>95</v>
      </c>
      <c r="E10" s="58" t="n">
        <v>1</v>
      </c>
      <c r="F10" s="16" t="s">
        <v>184</v>
      </c>
    </row>
    <row r="11" customFormat="false" ht="21.75" hidden="false" customHeight="true" outlineLevel="0" collapsed="false">
      <c r="A11" s="13" t="n">
        <v>5</v>
      </c>
      <c r="B11" s="14" t="s">
        <v>109</v>
      </c>
      <c r="C11" s="13" t="s">
        <v>110</v>
      </c>
      <c r="D11" s="13" t="s">
        <v>95</v>
      </c>
      <c r="E11" s="58" t="n">
        <v>1</v>
      </c>
      <c r="F11" s="16"/>
    </row>
    <row r="12" customFormat="false" ht="21.75" hidden="false" customHeight="true" outlineLevel="0" collapsed="false">
      <c r="A12" s="13" t="n">
        <v>6</v>
      </c>
      <c r="B12" s="14" t="s">
        <v>113</v>
      </c>
      <c r="C12" s="13" t="s">
        <v>114</v>
      </c>
      <c r="D12" s="13" t="s">
        <v>95</v>
      </c>
      <c r="E12" s="58" t="n">
        <v>1</v>
      </c>
      <c r="F12" s="16"/>
    </row>
    <row r="13" customFormat="false" ht="21.75" hidden="false" customHeight="true" outlineLevel="0" collapsed="false">
      <c r="A13" s="13" t="n">
        <v>7</v>
      </c>
      <c r="B13" s="14" t="s">
        <v>113</v>
      </c>
      <c r="C13" s="13" t="s">
        <v>116</v>
      </c>
      <c r="D13" s="13" t="s">
        <v>95</v>
      </c>
      <c r="E13" s="58" t="n">
        <v>1</v>
      </c>
      <c r="F13" s="16" t="s">
        <v>185</v>
      </c>
    </row>
    <row r="14" customFormat="false" ht="21.75" hidden="false" customHeight="true" outlineLevel="0" collapsed="false">
      <c r="A14" s="13" t="n">
        <v>8</v>
      </c>
      <c r="B14" s="14" t="s">
        <v>125</v>
      </c>
      <c r="C14" s="13" t="s">
        <v>128</v>
      </c>
      <c r="D14" s="13" t="s">
        <v>95</v>
      </c>
      <c r="E14" s="58" t="n">
        <v>1</v>
      </c>
      <c r="F14" s="16" t="s">
        <v>186</v>
      </c>
    </row>
    <row r="15" customFormat="false" ht="21.75" hidden="false" customHeight="true" outlineLevel="0" collapsed="false">
      <c r="A15" s="13" t="n">
        <v>9</v>
      </c>
      <c r="B15" s="14" t="s">
        <v>130</v>
      </c>
      <c r="C15" s="13" t="s">
        <v>131</v>
      </c>
      <c r="D15" s="13" t="s">
        <v>95</v>
      </c>
      <c r="E15" s="58" t="n">
        <v>1</v>
      </c>
      <c r="F15" s="16"/>
    </row>
    <row r="16" customFormat="false" ht="21.75" hidden="false" customHeight="true" outlineLevel="0" collapsed="false">
      <c r="A16" s="13" t="n">
        <v>10</v>
      </c>
      <c r="B16" s="14" t="s">
        <v>132</v>
      </c>
      <c r="C16" s="13" t="s">
        <v>133</v>
      </c>
      <c r="D16" s="13" t="s">
        <v>95</v>
      </c>
      <c r="E16" s="58" t="n">
        <v>1</v>
      </c>
      <c r="F16" s="16" t="s">
        <v>187</v>
      </c>
    </row>
    <row r="17" customFormat="false" ht="21.75" hidden="false" customHeight="true" outlineLevel="0" collapsed="false">
      <c r="A17" s="13" t="n">
        <v>11</v>
      </c>
      <c r="B17" s="14" t="s">
        <v>132</v>
      </c>
      <c r="C17" s="13" t="s">
        <v>135</v>
      </c>
      <c r="D17" s="13" t="s">
        <v>95</v>
      </c>
      <c r="E17" s="58" t="n">
        <v>1</v>
      </c>
      <c r="F17" s="16"/>
    </row>
    <row r="18" customFormat="false" ht="21.75" hidden="false" customHeight="true" outlineLevel="0" collapsed="false">
      <c r="A18" s="13" t="n">
        <v>12</v>
      </c>
      <c r="B18" s="14" t="s">
        <v>140</v>
      </c>
      <c r="C18" s="13" t="s">
        <v>141</v>
      </c>
      <c r="D18" s="13" t="s">
        <v>95</v>
      </c>
      <c r="E18" s="58" t="n">
        <v>1</v>
      </c>
      <c r="F18" s="16" t="s">
        <v>188</v>
      </c>
    </row>
    <row r="19" customFormat="false" ht="21.75" hidden="false" customHeight="true" outlineLevel="0" collapsed="false">
      <c r="A19" s="13" t="n">
        <v>13</v>
      </c>
      <c r="B19" s="14" t="s">
        <v>143</v>
      </c>
      <c r="C19" s="13" t="s">
        <v>144</v>
      </c>
      <c r="D19" s="13" t="s">
        <v>95</v>
      </c>
      <c r="E19" s="58" t="n">
        <v>1</v>
      </c>
      <c r="F19" s="16" t="s">
        <v>189</v>
      </c>
    </row>
    <row r="20" customFormat="false" ht="21.75" hidden="false" customHeight="true" outlineLevel="0" collapsed="false">
      <c r="A20" s="13" t="n">
        <v>14</v>
      </c>
      <c r="B20" s="14" t="s">
        <v>147</v>
      </c>
      <c r="C20" s="13" t="s">
        <v>148</v>
      </c>
      <c r="D20" s="13" t="s">
        <v>98</v>
      </c>
      <c r="E20" s="58" t="n">
        <v>1</v>
      </c>
      <c r="F20" s="16" t="s">
        <v>190</v>
      </c>
    </row>
    <row r="23" customFormat="false" ht="15" hidden="false" customHeight="false" outlineLevel="0" collapsed="false">
      <c r="A23" s="59" t="s">
        <v>191</v>
      </c>
      <c r="B23" s="59"/>
      <c r="C23" s="59"/>
      <c r="D23" s="59"/>
      <c r="E23" s="59"/>
      <c r="F23" s="59"/>
    </row>
    <row r="24" customFormat="false" ht="31.5" hidden="false" customHeight="true" outlineLevel="0" collapsed="false">
      <c r="A24" s="8" t="s">
        <v>60</v>
      </c>
      <c r="B24" s="8" t="s">
        <v>88</v>
      </c>
      <c r="C24" s="8" t="s">
        <v>61</v>
      </c>
      <c r="D24" s="8" t="s">
        <v>63</v>
      </c>
      <c r="E24" s="8" t="s">
        <v>192</v>
      </c>
      <c r="F24" s="8" t="s">
        <v>193</v>
      </c>
    </row>
    <row r="25" customFormat="false" ht="24" hidden="false" customHeight="true" outlineLevel="0" collapsed="false">
      <c r="A25" s="13" t="n">
        <v>1</v>
      </c>
      <c r="B25" s="14" t="s">
        <v>100</v>
      </c>
      <c r="C25" s="13" t="s">
        <v>103</v>
      </c>
      <c r="D25" s="13" t="s">
        <v>95</v>
      </c>
      <c r="E25" s="60" t="n">
        <v>0.75</v>
      </c>
      <c r="F25" s="16" t="s">
        <v>194</v>
      </c>
    </row>
    <row r="26" customFormat="false" ht="24" hidden="false" customHeight="true" outlineLevel="0" collapsed="false">
      <c r="A26" s="13" t="n">
        <v>2</v>
      </c>
      <c r="B26" s="14" t="s">
        <v>109</v>
      </c>
      <c r="C26" s="13" t="s">
        <v>111</v>
      </c>
      <c r="D26" s="13" t="s">
        <v>95</v>
      </c>
      <c r="E26" s="60" t="n">
        <v>0.99</v>
      </c>
      <c r="F26" s="16" t="s">
        <v>112</v>
      </c>
    </row>
    <row r="27" customFormat="false" ht="24" hidden="false" customHeight="true" outlineLevel="0" collapsed="false">
      <c r="A27" s="13" t="n">
        <v>3</v>
      </c>
      <c r="B27" s="14" t="s">
        <v>119</v>
      </c>
      <c r="C27" s="13" t="s">
        <v>120</v>
      </c>
      <c r="D27" s="13" t="s">
        <v>95</v>
      </c>
      <c r="E27" s="60" t="n">
        <v>0.94</v>
      </c>
      <c r="F27" s="16" t="s">
        <v>121</v>
      </c>
    </row>
    <row r="28" customFormat="false" ht="24" hidden="false" customHeight="true" outlineLevel="0" collapsed="false">
      <c r="A28" s="13" t="n">
        <v>4</v>
      </c>
      <c r="B28" s="14" t="s">
        <v>119</v>
      </c>
      <c r="C28" s="13" t="s">
        <v>122</v>
      </c>
      <c r="D28" s="13" t="s">
        <v>95</v>
      </c>
      <c r="E28" s="61" t="n">
        <v>0.4</v>
      </c>
      <c r="F28" s="16" t="s">
        <v>195</v>
      </c>
    </row>
    <row r="29" customFormat="false" ht="24" hidden="false" customHeight="true" outlineLevel="0" collapsed="false">
      <c r="A29" s="13" t="n">
        <v>5</v>
      </c>
      <c r="B29" s="14" t="s">
        <v>125</v>
      </c>
      <c r="C29" s="13" t="s">
        <v>126</v>
      </c>
      <c r="D29" s="13" t="s">
        <v>95</v>
      </c>
      <c r="E29" s="60" t="n">
        <v>0.999</v>
      </c>
      <c r="F29" s="16" t="s">
        <v>196</v>
      </c>
    </row>
    <row r="30" customFormat="false" ht="24" hidden="false" customHeight="true" outlineLevel="0" collapsed="false">
      <c r="A30" s="13" t="n">
        <v>6</v>
      </c>
      <c r="B30" s="14" t="s">
        <v>136</v>
      </c>
      <c r="C30" s="13" t="s">
        <v>137</v>
      </c>
      <c r="D30" s="13" t="s">
        <v>95</v>
      </c>
      <c r="E30" s="60" t="n">
        <v>0.6744</v>
      </c>
      <c r="F30" s="16" t="s">
        <v>197</v>
      </c>
    </row>
    <row r="31" customFormat="false" ht="24" hidden="false" customHeight="true" outlineLevel="0" collapsed="false">
      <c r="A31" s="13" t="n">
        <v>7</v>
      </c>
      <c r="B31" s="14" t="s">
        <v>136</v>
      </c>
      <c r="C31" s="13" t="s">
        <v>139</v>
      </c>
      <c r="D31" s="13" t="s">
        <v>95</v>
      </c>
      <c r="E31" s="60" t="n">
        <v>0.6744</v>
      </c>
      <c r="F31" s="16" t="s">
        <v>198</v>
      </c>
    </row>
    <row r="33" customFormat="false" ht="15" hidden="false" customHeight="false" outlineLevel="0" collapsed="false">
      <c r="A33" s="17" t="s">
        <v>199</v>
      </c>
      <c r="B33" s="17"/>
      <c r="C33" s="17"/>
      <c r="D33" s="17"/>
      <c r="E33" s="17"/>
      <c r="F33" s="17"/>
    </row>
  </sheetData>
  <mergeCells count="5">
    <mergeCell ref="A1:F1"/>
    <mergeCell ref="A3:F3"/>
    <mergeCell ref="A5:F5"/>
    <mergeCell ref="A23:F23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3" min="3" style="0" width="20"/>
    <col collapsed="false" customWidth="true" hidden="false" outlineLevel="0" max="4" min="4" style="0" width="50"/>
  </cols>
  <sheetData>
    <row r="1" customFormat="false" ht="25.5" hidden="false" customHeight="true" outlineLevel="0" collapsed="false">
      <c r="A1" s="1" t="s">
        <v>200</v>
      </c>
      <c r="B1" s="1"/>
      <c r="C1" s="1"/>
      <c r="D1" s="1"/>
    </row>
    <row r="3" customFormat="false" ht="31.5" hidden="false" customHeight="true" outlineLevel="0" collapsed="false">
      <c r="A3" s="8" t="s">
        <v>201</v>
      </c>
      <c r="B3" s="8" t="s">
        <v>202</v>
      </c>
      <c r="C3" s="8" t="s">
        <v>203</v>
      </c>
      <c r="D3" s="8" t="s">
        <v>204</v>
      </c>
    </row>
    <row r="4" customFormat="false" ht="27.75" hidden="false" customHeight="true" outlineLevel="0" collapsed="false">
      <c r="A4" s="14" t="s">
        <v>205</v>
      </c>
      <c r="B4" s="13" t="s">
        <v>206</v>
      </c>
      <c r="C4" s="13" t="s">
        <v>207</v>
      </c>
      <c r="D4" s="16" t="s">
        <v>208</v>
      </c>
    </row>
    <row r="5" customFormat="false" ht="27.75" hidden="false" customHeight="true" outlineLevel="0" collapsed="false">
      <c r="A5" s="14" t="s">
        <v>209</v>
      </c>
      <c r="B5" s="13" t="s">
        <v>210</v>
      </c>
      <c r="C5" s="13" t="s">
        <v>211</v>
      </c>
      <c r="D5" s="16" t="s">
        <v>212</v>
      </c>
    </row>
    <row r="6" customFormat="false" ht="27.75" hidden="false" customHeight="true" outlineLevel="0" collapsed="false">
      <c r="A6" s="14" t="s">
        <v>213</v>
      </c>
      <c r="B6" s="13" t="s">
        <v>214</v>
      </c>
      <c r="C6" s="13" t="s">
        <v>215</v>
      </c>
      <c r="D6" s="16" t="s">
        <v>216</v>
      </c>
    </row>
    <row r="7" customFormat="false" ht="27.75" hidden="false" customHeight="true" outlineLevel="0" collapsed="false">
      <c r="A7" s="14" t="s">
        <v>217</v>
      </c>
      <c r="B7" s="13" t="s">
        <v>218</v>
      </c>
      <c r="C7" s="13" t="s">
        <v>219</v>
      </c>
      <c r="D7" s="16" t="s">
        <v>220</v>
      </c>
    </row>
    <row r="8" customFormat="false" ht="27.75" hidden="false" customHeight="true" outlineLevel="0" collapsed="false">
      <c r="A8" s="14" t="s">
        <v>221</v>
      </c>
      <c r="B8" s="13" t="s">
        <v>222</v>
      </c>
      <c r="C8" s="13" t="s">
        <v>223</v>
      </c>
      <c r="D8" s="16" t="s">
        <v>224</v>
      </c>
    </row>
    <row r="9" customFormat="false" ht="27.75" hidden="false" customHeight="true" outlineLevel="0" collapsed="false">
      <c r="A9" s="14" t="s">
        <v>225</v>
      </c>
      <c r="B9" s="13" t="s">
        <v>226</v>
      </c>
      <c r="C9" s="13" t="s">
        <v>227</v>
      </c>
      <c r="D9" s="16" t="s">
        <v>228</v>
      </c>
    </row>
    <row r="10" customFormat="false" ht="27.75" hidden="false" customHeight="true" outlineLevel="0" collapsed="false">
      <c r="A10" s="14" t="s">
        <v>229</v>
      </c>
      <c r="B10" s="13" t="s">
        <v>230</v>
      </c>
      <c r="C10" s="13" t="s">
        <v>231</v>
      </c>
      <c r="D10" s="16" t="s">
        <v>232</v>
      </c>
    </row>
    <row r="11" customFormat="false" ht="27.75" hidden="false" customHeight="true" outlineLevel="0" collapsed="false">
      <c r="A11" s="14" t="s">
        <v>233</v>
      </c>
      <c r="B11" s="13" t="s">
        <v>234</v>
      </c>
      <c r="C11" s="13" t="s">
        <v>235</v>
      </c>
      <c r="D11" s="16" t="s">
        <v>236</v>
      </c>
    </row>
    <row r="12" customFormat="false" ht="27.75" hidden="false" customHeight="true" outlineLevel="0" collapsed="false">
      <c r="A12" s="14" t="s">
        <v>237</v>
      </c>
      <c r="B12" s="13" t="s">
        <v>238</v>
      </c>
      <c r="C12" s="13" t="s">
        <v>239</v>
      </c>
      <c r="D12" s="16" t="s">
        <v>240</v>
      </c>
    </row>
    <row r="13" customFormat="false" ht="27.75" hidden="false" customHeight="true" outlineLevel="0" collapsed="false">
      <c r="A13" s="14" t="s">
        <v>241</v>
      </c>
      <c r="B13" s="13" t="s">
        <v>242</v>
      </c>
      <c r="C13" s="13" t="s">
        <v>243</v>
      </c>
      <c r="D13" s="16" t="s">
        <v>244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2026-06-08T14:04:05Z</dcterms:created>
  <dc:creator>openpyxl</dc:creator>
  <dc:description/>
  <dc:language>en-US</dc:language>
  <cp:lastModifiedBy/>
  <dcterms:modified xsi:type="dcterms:W3CDTF">2026-06-08T14:04:05Z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